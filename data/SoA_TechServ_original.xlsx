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5"/>
    <sheet state="visible" name="Ámbito y perfil" sheetId="2" r:id="rId6"/>
    <sheet state="visible" name="Categorización" sheetId="3" r:id="rId7"/>
    <sheet state="visible" name="SoA ENS" sheetId="4" r:id="rId8"/>
    <sheet state="visible" name="Refuerzos" sheetId="5" r:id="rId9"/>
    <sheet state="visible" name="Medidas compensatorias" sheetId="6" r:id="rId10"/>
    <sheet state="visible" name="Resumen" sheetId="7" r:id="rId11"/>
    <sheet state="visible" name="Texto Anexo II" sheetId="8" r:id="rId12"/>
    <sheet state="visible" name="Leyenda" sheetId="9" r:id="rId13"/>
  </sheets>
  <definedNames>
    <definedName hidden="1" localSheetId="3" name="_xlnm._FilterDatabase">'SoA ENS'!$A$1:$X$92</definedName>
    <definedName hidden="1" localSheetId="4" name="_xlnm._FilterDatabase">Refuerzos!$A$1:$I$93</definedName>
  </definedNames>
  <calcPr/>
</workbook>
</file>

<file path=xl/sharedStrings.xml><?xml version="1.0" encoding="utf-8"?>
<sst xmlns="http://schemas.openxmlformats.org/spreadsheetml/2006/main" count="3197" uniqueCount="1215">
  <si>
    <t>DECLARACIÓN DE APLICABILIDAD (SoA) – ESQUEMA NACIONAL DE SEGURIDAD</t>
  </si>
  <si>
    <t>Aspecto</t>
  </si>
  <si>
    <t>Real Decreto 311/2022, de 3 de mayo – Anexo II · Categoría del sistema: ALTA</t>
  </si>
  <si>
    <t>Determinación para TechServ / PSTA</t>
  </si>
  <si>
    <t>Naturaleza de la entidad</t>
  </si>
  <si>
    <t>Documento de ejemplo con datos ficticios para uso docente (caso TechServ).</t>
  </si>
  <si>
    <t>Entidad del sector privado (S.L., 85 empleados) que presta servicios TIC a tres consejerías de una Comunidad Autónoma en virtud de contrato administrativo.</t>
  </si>
  <si>
    <t>Base jurídica de aplicación del ENS</t>
  </si>
  <si>
    <t>Art. 2.3 RD 311/2022: el ENS se aplica a los sistemas de información de entidades del sector privado cuando, en virtud de una relación contractual, presten servicios o provean soluciones al sector público para el ejercicio de sus competencias. Los pliegos (PPT cláusula 14) exigen conformidad ENS categoría ALTA con certificación en vigor.</t>
  </si>
  <si>
    <t>Modalidad de aplicación: TOTAL vs PARCIAL</t>
  </si>
  <si>
    <t>Organización</t>
  </si>
  <si>
    <t>APLICACIÓN PARCIAL (por alcance): el ENS se aplica a los sistemas que soportan los servicios prestados a las consejerías (sistema PSTA: CPD Alcobendas, CPD Tres Cantos, tenant IaaS NubeAdmin, puestos de administración y operación). NO se incluyen en el alcance ENS los sistemas corporativos internos de TechServ sin relación con el servicio (ERP/facturación, RRHH, web comercial), que se gobiernan bajo el SGSI ISO 27001 de la compañía. La frontera está documentada en DOC-ALC-01 (alcance) y en el diagrama de arquitectura ARQ-02.</t>
  </si>
  <si>
    <t>Perfil de cumplimiento específico (art. 30 RD 311/2022)</t>
  </si>
  <si>
    <t>TechServ Administración, S.L. – B-87.654.321 (ficticio)</t>
  </si>
  <si>
    <t>Categorización del sistema PSTA – Anexo I RD 311/2022 (CCN-STIC 803 / 827)</t>
  </si>
  <si>
    <t>Sistema de información</t>
  </si>
  <si>
    <t>NO APLICA ningún perfil de cumplimiento específico. Los perfiles publicados por el CCN (serie CCN-STIC 88x/89x: p. ej. 881A Universidades, 884 Cloud corporativo Azure, 890A Requisitos esenciales para categoría BÁSICA, 890C) están concebidos para entidades o sectores concretos y/o categorías inferiores. TechServ, como prestador privado de un sistema de categoría ALTA con dimensiones ALTO en D/I/C/A, debe aplicar el Anexo II completo con los refuerzos exigidos para su nivel. Se deja constancia de que, si la Consejería contratante dispusiera de un perfil propio aprobado por el CCN, prevalecería el perfil y esta SoA se re-emitiría.</t>
  </si>
  <si>
    <t>PSTA – Plataforma de Servicios TIC para la Administración Autonómica</t>
  </si>
  <si>
    <t>Criterio de selección de medidas (art. 28.1)</t>
  </si>
  <si>
    <t>Código / versión del documento</t>
  </si>
  <si>
    <t>SOA-ENS-PSTA · v2.0</t>
  </si>
  <si>
    <t>a) Activos que constituyen el sistema (inventario INV-01); b) Categoría del sistema: ALTA (art. 40 y Anexo I), con niveles por dimensión D=ALTO, I=ALTO, C=ALTO, A=ALTO, T=MEDIO; c) Decisiones del análisis de riesgos (AR-2026-01, MAGERIT v3 / PILAR, riesgo residual aceptado por el CSI el 30/06/2026).</t>
  </si>
  <si>
    <t>Fecha de emisión</t>
  </si>
  <si>
    <t>Marco / familia</t>
  </si>
  <si>
    <t>18/09/2026</t>
  </si>
  <si>
    <t>Regla de aplicación de cada medida</t>
  </si>
  <si>
    <t>Criterio Anexo I: BAJO = perjuicio limitado · MEDIO = perjuicio grave · ALTO = perjuicio muy grave, sobre las funciones de la organización, los activos o las personas. El nivel de cada dimensión del sistema es el MÁXIMO de los activos esenciales; la categoría es ALTA si alguna dimensión es ALTO (art. 40).</t>
  </si>
  <si>
    <t>Categoría del sistema (art. 40, Anexo I)</t>
  </si>
  <si>
    <t>ALTA  (D=ALTO · I=ALTO · C=ALTO · A=ALTO · T=MEDIO) – ver hoja 'Categorización'</t>
  </si>
  <si>
    <t>Código</t>
  </si>
  <si>
    <t>Si la medida afecta a 'Categoría' (todas las dimensiones) se exige el nivel de la CATEGORÍA del sistema (ALTA). Si la medida afecta a una o varias dimensiones concretas, se exige el nivel MÁS ALTO de esas dimensiones (Anexo II, apdo. 2). Ej.: [op.exp.8] afecta sólo a T → nivel MEDIO → se exigen R1-R4 pero no R5; [mp.info.4] afecta sólo a T y sólo aplica en ALTO → NO APLICA en TechServ; [op.acc.1] afecta a T y A → ALTO.</t>
  </si>
  <si>
    <t>Medida de seguridad</t>
  </si>
  <si>
    <t>Análisis de riesgos de referencia (art. 14, [op.pl.1])</t>
  </si>
  <si>
    <t>AR-2026-01 (MAGERIT v3 / PILAR), aprobado por el CSI el 30/06/2026</t>
  </si>
  <si>
    <t>Declaración de Aplicabilidad (art. 28.2)</t>
  </si>
  <si>
    <t>Dimensiones afectadas (Anexo II)</t>
  </si>
  <si>
    <t>Documento formalizado y firmado por la Responsable de Seguridad; revisado al menos anualmente y ante cambios significativos del sistema, del análisis de riesgos o de la categoría.</t>
  </si>
  <si>
    <t>Elaborada por</t>
  </si>
  <si>
    <t>Nivel BAJO</t>
  </si>
  <si>
    <t>Laura Ortega Vidal – Responsable de Seguridad (CISO)</t>
  </si>
  <si>
    <t>Nivel MEDIO</t>
  </si>
  <si>
    <t>Medidas compensatorias (art. 28.3)</t>
  </si>
  <si>
    <t>Nivel ALTO</t>
  </si>
  <si>
    <t>Revisada por</t>
  </si>
  <si>
    <t>Cuando una medida o refuerzo no puede implantarse tal como lo describe el Anexo II, se sustituye por medidas compensatorias justificadas documentalmente en la hoja 'Medidas compensatorias' (ámbito, restricción, riesgo, medida, validación, mantenimiento), con aprobación del CSI y verificación en auditoría.</t>
  </si>
  <si>
    <t>Javier Molina Ruiz – Responsable del Sistema (CTO)</t>
  </si>
  <si>
    <t>Nivel exigido a TechServ</t>
  </si>
  <si>
    <t>Aprobada por</t>
  </si>
  <si>
    <t>Conformidad y auditoría</t>
  </si>
  <si>
    <t>Comité de Seguridad de la Información (CSI) – reunión trimestral – acta ACTA-CSI-2026-03</t>
  </si>
  <si>
    <t>Regla aplicada</t>
  </si>
  <si>
    <t>Exigencia aplicable (Anexo II)</t>
  </si>
  <si>
    <t>Categoría ALTA → auditoría formal bienal (art. 31 y Anexo III) y Certificación de Conformidad por entidad acreditada por ENAC (art. 38; ITS de Conformidad, Res. 13/10/2016). Auditoría intermedia de seguimiento anual. Se usa CCN-STIC 808 como cuestionario de verificación y CCN-STIC 804 como guía de implantación.</t>
  </si>
  <si>
    <t>Refuerzos exigidos (Rn)</t>
  </si>
  <si>
    <t>Responsables de la Información / del Servicio</t>
  </si>
  <si>
    <t>Refuerzos / alternativa elegida</t>
  </si>
  <si>
    <t>Instrucciones Técnicas de Seguridad aplicables</t>
  </si>
  <si>
    <t>Consejería de Hacienda / Consejería de Educación / Consejería de Bienestar Social (Responsables de la Información y del Servicio, art. 11 RD 311/2022)</t>
  </si>
  <si>
    <t>¿Aplica?</t>
  </si>
  <si>
    <t>ITS de Conformidad con el ENS; ITS de Auditoría de la Seguridad; ITS de Notificación de Incidentes de Seguridad (vía CCN-CERT / LUCIA, art. 33); ITS de Informe del Estado de la Seguridad (INES, art. 32).</t>
  </si>
  <si>
    <t>Delegada de Protección de Datos</t>
  </si>
  <si>
    <t>Justificación de aplicabilidad / exclusión</t>
  </si>
  <si>
    <t>Marta Ruiz Salgado – Delegada de Protección de Datos</t>
  </si>
  <si>
    <t>Guías CCN-STIC de referencia</t>
  </si>
  <si>
    <t>Medidas ORGANIZATIVAS implantadasPortal de firma de normativas (registro de aceptación); banner de aviso en el inicio de sesión.</t>
  </si>
  <si>
    <t>Firma (art. 28.2 RD 311/2022)</t>
  </si>
  <si>
    <t>Firmado electrónicamente por la Responsable de Seguridad con certificado cualificado – 18/09/2026</t>
  </si>
  <si>
    <t>Próxima revisión</t>
  </si>
  <si>
    <t>Anual (09/2027) o antes si cambia el sistema, el análisis de riesgos, la categoría o la normativa</t>
  </si>
  <si>
    <t>Infraestructura</t>
  </si>
  <si>
    <t>Tipo</t>
  </si>
  <si>
    <t>CPD principal – Alcobendas (Madrid)
CPD de respaldo – Tres Cantos (Madrid), distancia 14 km
IaaS/PaaS en proveedor con certificación ENS categoría ALTA (NubeAdmin Cloud, S.A.) para el portal público y copias externas
SOC 24x7 subcontratado a SecOps Iberia, S.L. (certificado ENS ALTA, ISO 27001) integrado con el CCN-CERT vía LUCIA/REYES</t>
  </si>
  <si>
    <t>ID</t>
  </si>
  <si>
    <t>Contenido del libro</t>
  </si>
  <si>
    <t>Activo esencial (servicio / información)</t>
  </si>
  <si>
    <t>Responsable de la Información / Servicio</t>
  </si>
  <si>
    <t>Ámbito y perfil</t>
  </si>
  <si>
    <t>D</t>
  </si>
  <si>
    <t>I</t>
  </si>
  <si>
    <t>800 (glosario), 801 (roles), 802 (auditoría), 803 (valoración), 804 (implantación), 805 (política), 806 (plan de adecuación), 808 (verificación), 809 (declaración/certificación), 810 (medidas en la nube), 811 (interconexión), 815 (métricas), 817 (ciberincidentes), 821 (normas de seguridad), 823 (cloud), 824 (informe estado seguridad), 825 (ENS ↔ ISO 27001), 827 (RD 311 categorización), 830 (ámbito y contratación).</t>
  </si>
  <si>
    <t>C</t>
  </si>
  <si>
    <t>A</t>
  </si>
  <si>
    <t>T</t>
  </si>
  <si>
    <t>Medidas TÉCNICAS implantadas</t>
  </si>
  <si>
    <t>Justificación de la valoración (Anexo I)</t>
  </si>
  <si>
    <t>Medida compensatoria (ref.)</t>
  </si>
  <si>
    <t>Ámbito de aplicación (art. 2.3), aplicación total/parcial, perfil de cumplimiento específico (art. 30), criterios de selección (art. 28) y regla de aplicación por dimensión.</t>
  </si>
  <si>
    <t>Estado de implantación</t>
  </si>
  <si>
    <t>Servicio</t>
  </si>
  <si>
    <t>% implantación</t>
  </si>
  <si>
    <t>Categorización</t>
  </si>
  <si>
    <t>Valoración de los activos esenciales en las cinco dimensiones (Anexo I) y determinación del nivel por dimensión y de la categoría del sistema.</t>
  </si>
  <si>
    <t>S-01</t>
  </si>
  <si>
    <t>Evidencias / documentos</t>
  </si>
  <si>
    <t>Sede tributaria electrónica (autoliquidaciones, pagos, notificaciones)</t>
  </si>
  <si>
    <t>Responsable</t>
  </si>
  <si>
    <t>SoA ENS</t>
  </si>
  <si>
    <t>Consejería de Hacienda</t>
  </si>
  <si>
    <t>Control ISO/IEC 27001:2022 equivalente (CCN-STIC 825)</t>
  </si>
  <si>
    <t>Las 73 medidas del Anexo II: dimensiones, exigencia BAJO/MEDIO/ALTO, nivel exigido a TechServ, refuerzos, aplicabilidad y justificación, medidas organizativas y técnicas, evidencias, responsable, estado y equivalencia ISO/IEC 27001:2022 (CCN-STIC 825).</t>
  </si>
  <si>
    <t>Guías CCN-STIC / verificación</t>
  </si>
  <si>
    <t>m</t>
  </si>
  <si>
    <t>Observaciones / PTR</t>
  </si>
  <si>
    <t>Refuerzos</t>
  </si>
  <si>
    <t>Detalle de cada requisito de refuerzo Rn: nivel en que se exige, si es exigible a TechServ, alternativa elegida e implementación.</t>
  </si>
  <si>
    <t>Medidas compensatorias</t>
  </si>
  <si>
    <t>Marco organizativo</t>
  </si>
  <si>
    <t>Registro de medidas compensatorias (art. 28.3) con ámbito, limitación, riesgo, medida, validación y mantenimiento.</t>
  </si>
  <si>
    <t>Resumen</t>
  </si>
  <si>
    <t>Indicadores calculados con fórmulas: medidas aplicables, no aplicables, compensadas, estado de implantación y grado de cumplimiento por marco.</t>
  </si>
  <si>
    <t>Texto Anexo II</t>
  </si>
  <si>
    <t>Texto normativo de cada medida y de sus refuerzos (RD 311/2022) para consulta.</t>
  </si>
  <si>
    <t>Leyenda</t>
  </si>
  <si>
    <t>Códigos de colores, valores permitidos y celdas editables.</t>
  </si>
  <si>
    <t>Control de cambios</t>
  </si>
  <si>
    <t>Versión / fecha</t>
  </si>
  <si>
    <t>ALTO</t>
  </si>
  <si>
    <t>org.2</t>
  </si>
  <si>
    <t>Descripción</t>
  </si>
  <si>
    <t>v1.0 – 15/02/2025</t>
  </si>
  <si>
    <t>Primera emisión tras la categorización inicial (categoría MEDIA, T=MEDIO, C=MEDIO).</t>
  </si>
  <si>
    <t>v1.1 – 10/10/2025</t>
  </si>
  <si>
    <t>Actualización tras auditoría de certificación: refuerzos op.acc.6 R6/R7 y op.exp.8 R3.</t>
  </si>
  <si>
    <t>v2.0 – 18/09/2026</t>
  </si>
  <si>
    <t>Re-categorización a ALTA por incorporación de S-03 (datos de salud) y valoración D=ALTO de S-01; nuevo análisis de riesgos AR-2026-01; medidas compensatorias MC-01..04; mapeo ISO 27001:2022.</t>
  </si>
  <si>
    <t>MEDIO</t>
  </si>
  <si>
    <t>Normativa de seguridad</t>
  </si>
  <si>
    <t>D: la interrupción en campaña impide el cumplimiento de obligaciones tributarias de &gt;2M contribuyentes (perjuicio muy grave, Anexo I). I/A: la alteración o suplantación de una autoliquidación tiene efectos jurídicos directos. C: datos tributarios (art. 95 LGT). T: se exige reconstruir quién hizo qué, pero un fallo aislado del registro tiene consecuencias graves, no muy graves.</t>
  </si>
  <si>
    <t>Categoría</t>
  </si>
  <si>
    <t>S-02</t>
  </si>
  <si>
    <t>Plataforma de gestión académica y becas</t>
  </si>
  <si>
    <t>aplica</t>
  </si>
  <si>
    <t>Consejería de Educación</t>
  </si>
  <si>
    <t>D: tolera 24-48 h de parada fuera de matriculación. I: la manipulación de expedientes/calificaciones tiene efectos legales. C: datos de menores y situación socioeconómica de familias. A/T: consecuencias graves pero recuperables.</t>
  </si>
  <si>
    <t>S-03</t>
  </si>
  <si>
    <t>Gestión de expedientes de dependencia y prestaciones sociales</t>
  </si>
  <si>
    <t>Consejería de Bienestar Social</t>
  </si>
  <si>
    <t>C: datos de salud y situación de vulnerabilidad (categorías especiales, art. 9 RGPD) → ALTO. I: la alteración de un grado de dependencia altera prestaciones económicas. D: proceso administrativo con tolerancia de 48 h.</t>
  </si>
  <si>
    <t>S-04</t>
  </si>
  <si>
    <t>Servicios transversales (Directorio, correo corporativo, VPN, PKI interna, monitorización)</t>
  </si>
  <si>
    <t>TechServ (Responsable del Sistema)</t>
  </si>
  <si>
    <t>Hereda el máximo de los servicios que soporta (dependencia funcional, Anexo I apdo. 4).</t>
  </si>
  <si>
    <t>Información</t>
  </si>
  <si>
    <t>I-01</t>
  </si>
  <si>
    <t>Datos tributarios y de recaudación</t>
  </si>
  <si>
    <t>Información con reserva legal (art. 95 LGT). Su divulgación causa perjuicio muy grave a los derechos de los contribuyentes.</t>
  </si>
  <si>
    <t>I-02</t>
  </si>
  <si>
    <t>Datos de salud / dependencia (categoría especial)</t>
  </si>
  <si>
    <t>Categoría especial de datos (art. 9 RGPD); DPIA realizada (REG-RGPD-07).</t>
  </si>
  <si>
    <t>I-03</t>
  </si>
  <si>
    <t>Datos académicos y socioeconómicos de menores</t>
  </si>
  <si>
    <t>BAJO</t>
  </si>
  <si>
    <t>Datos de menores: divulgación con perjuicio muy grave para los afectados.</t>
  </si>
  <si>
    <t>I-04</t>
  </si>
  <si>
    <t>Credenciales, claves criptográficas y configuración de seguridad</t>
  </si>
  <si>
    <t>TechServ</t>
  </si>
  <si>
    <t>Su compromiso afecta a todos los servicios (activo de soporte crítico).</t>
  </si>
  <si>
    <t>RESULTADO</t>
  </si>
  <si>
    <t>Nivel del sistema por dimensión (fórmula: máximo de los activos)</t>
  </si>
  <si>
    <t>Categoría del sistema = ALTA</t>
  </si>
  <si>
    <t>—</t>
  </si>
  <si>
    <t>SÍ</t>
  </si>
  <si>
    <t>Calculado automáticamente a partir de la tabla. Debe coincidir con la decisión formal del CSI (fila siguiente).</t>
  </si>
  <si>
    <t>APLICA: medida exigida para la categoría ALTA del sistema (afecta a todas las dimensiones). Exigencia: 'aplica'. Riesgos tratados según AR-2026-01. CCN-STIC 808: 3 requisitos de verificación (2 esenciales).</t>
  </si>
  <si>
    <t>DECISIÓN CSI</t>
  </si>
  <si>
    <t>Normativas de seguridad NOR-01 Uso aceptable de recursos TIC, NOR-02 Puesto de trabajo y teletrabajo, NOR-03 Dispositivos móviles, NOR-04 Clasificación y manejo de la información, NOR-05 Contraseñas y autenticación; régimen disciplinario vinculado al convenio y contratos. Aceptación firmada por todo el personal y terceros.</t>
  </si>
  <si>
    <t>Nivel aprobado por el Comité de Seguridad (ACTA-CSI-2026-03)</t>
  </si>
  <si>
    <t>Portal de firma de normativas (registro de aceptación); banner de aviso en el inicio de sesión.</t>
  </si>
  <si>
    <t>Implantada</t>
  </si>
  <si>
    <t>Estos valores alimentan la hoja 'SoA ENS' (columna 'Nivel exigido'). Celdas editables (amarillo).</t>
  </si>
  <si>
    <t>CATEGORÍA</t>
  </si>
  <si>
    <t>Categoría del sistema (art. 40): ALTA si alguna dimensión es ALTO; MEDIA si alguna es MEDIO; BÁSICA en otro caso</t>
  </si>
  <si>
    <t>NOR-01..05; REG-ACEPT-NOR (aceptaciones); PRO-RRHH-02</t>
  </si>
  <si>
    <t>Responsable de Seguridad</t>
  </si>
  <si>
    <t>5.1 Políticas; 5.10 Uso aceptable; 5.36 Cumplimiento de políticas; 6.7 Trabajo remoto; 7.7 Escritorio y pantalla despejados; 8.1 Dispositivos de usuario</t>
  </si>
  <si>
    <t>CCN-STIC 801, 805, 821, 804/808</t>
  </si>
  <si>
    <t>org.3</t>
  </si>
  <si>
    <t>Procedimientos de seguridad</t>
  </si>
  <si>
    <t>Consecuencias de la categorización sobre la SoA</t>
  </si>
  <si>
    <t>• Medidas que afectan a 'Categoría' (todas las dimensiones): se exige el nivel ALTA → columna 'Nivel ALTO' del Anexo II.</t>
  </si>
  <si>
    <t>• Medidas que afectan a dimensiones concretas: se exige el máximo de los niveles de esas dimensiones. Con T = MEDIO: [op.exp.8] (T) → MEDIO (R1-R4, sin R5); [mp.info.4] (T, sólo ALTO) → NO APLICA; [op.acc.1] (T y A) → ALTO por A.</t>
  </si>
  <si>
    <t>• Cambio de nivel en cualquier dimensión ⇒ re-emisión de la SoA, revisión del análisis de riesgos y comunicación a las consejerías (art. 28 / Anexo II apdo. 2).</t>
  </si>
  <si>
    <t>APLICA: medida exigida para la categoría ALTA del sistema (afecta a todas las dimensiones). Exigencia: 'aplica'. Riesgos tratados según AR-2026-01. CCN-STIC 808: 7 requisitos de verificación (2 esenciales).</t>
  </si>
  <si>
    <t>Catálogo de procedimientos operativos PRO-xx (altas/bajas de usuarios, copias, cambios, incidentes, parches, gestión de soportes, acceso físico, notificación a CCN-CERT, etc.) con propietario, revisión anual y validación por el Resp. de Seguridad.</t>
  </si>
  <si>
    <t>Repositorio documental con flujo de aprobación y control de versiones; enlaces desde la herramienta ITSM.</t>
  </si>
  <si>
    <t>• Categoría ALTA ⇒ certificación de conformidad obligatoria por entidad acreditada y auditoría bienal (art. 31 y 38; ITS Conformidad / Auditoría).</t>
  </si>
  <si>
    <t>Índice documental IDX-01 (48 procedimientos); PRO-GEST-01 Gestión documental</t>
  </si>
  <si>
    <t>Responsable del Sistema</t>
  </si>
  <si>
    <t>5.37 Procedimientos operativos documentados; 5.5 Contacto con autoridades; 5.14 Transferencia de información; 5.24 Planificación de la gestión de incidentes</t>
  </si>
  <si>
    <t>org.4</t>
  </si>
  <si>
    <t>Proceso de autorización</t>
  </si>
  <si>
    <t>Registro de medidas compensatorias – art. 28.3 RD 311/2022 (“…podrán ser reemplazadas por otras compensatorias, siempre y cuando se justifique documentalmente que protegen igual o mejor el riesgo…”)</t>
  </si>
  <si>
    <t>APLICA: medida exigida para la categoría ALTA del sistema (afecta a todas las dimensiones). Exigencia: 'aplica'. Riesgos tratados según AR-2026-01. CCN-STIC 808: 10 requisitos de verificación (4 esenciales).</t>
  </si>
  <si>
    <t>Código medida</t>
  </si>
  <si>
    <t>Procedimiento de autorización PRO-AUT-01: entrada en producción de instalaciones, equipos, aplicaciones, interconexiones, medios de comunicación, soportes y sistemas de terceros; matriz de autorización (Resp. Sistema autoriza, Resp. Seguridad informa favorablemente).</t>
  </si>
  <si>
    <t>Flujo de autorización en ITSM (ServiceDesk) con evidencias adjuntas; CMDB bloquea activos no autorizados (estado 'pendiente de autorización').</t>
  </si>
  <si>
    <t>Medida / refuerzo ENS sustituido</t>
  </si>
  <si>
    <t>Medida</t>
  </si>
  <si>
    <t>Ámbito de aplicación</t>
  </si>
  <si>
    <t>Refuerzo</t>
  </si>
  <si>
    <t>Limitaciones o restricciones</t>
  </si>
  <si>
    <t>PRO-AUT-01; REG-AUT-2026 (registro de autorizaciones); tickets ITSM</t>
  </si>
  <si>
    <t>Objetivo de la medida original</t>
  </si>
  <si>
    <t>5.2 Roles y responsabilidades; 8.19 Instalación de software; 8.20 Seguridad de redes; 8.32 Gestión de cambios; 5.10 Uso aceptable</t>
  </si>
  <si>
    <t>Nombre del refuerzo</t>
  </si>
  <si>
    <t>Riesgo identificado (AR-2026-01)</t>
  </si>
  <si>
    <t>Nivel(es) en que se exige (Anexo II)</t>
  </si>
  <si>
    <t>Definición de la(s) medida(s) compensatoria(s)</t>
  </si>
  <si>
    <t>Planificación</t>
  </si>
  <si>
    <t>Validación de la medida compensatoria</t>
  </si>
  <si>
    <t>op.pl.3</t>
  </si>
  <si>
    <t>¿Exigible a TechServ?</t>
  </si>
  <si>
    <t>Mantenimiento / revisión</t>
  </si>
  <si>
    <t>Adquisición de nuevos componentes</t>
  </si>
  <si>
    <t>Aprobación</t>
  </si>
  <si>
    <t>Texto del refuerzo (RD 311/2022)</t>
  </si>
  <si>
    <t>Implementación / alternativa elegida (ver SoA)</t>
  </si>
  <si>
    <t>MC-01</t>
  </si>
  <si>
    <t>op.pl.5 Componentes certificados</t>
  </si>
  <si>
    <t>op.pl.1</t>
  </si>
  <si>
    <t>Clúster de cortafuegos del CPD de respaldo (Tres Cantos): fabricante sin producto cualificado en el CPSTIC para la versión desplegada.</t>
  </si>
  <si>
    <t>El contrato de mantenimiento vence en 2027; la sustitución anticipada supone 180 k€ no presupuestados. El CPD de respaldo sólo está activo en contingencia.</t>
  </si>
  <si>
    <t>Análisis de riesgos</t>
  </si>
  <si>
    <t>R2</t>
  </si>
  <si>
    <t>Garantizar que la funcionalidad de seguridad del perímetro de respaldo ofrece garantías equivalentes a un producto cualificado (op.pl.5).</t>
  </si>
  <si>
    <t>Análisis de riesgos formal</t>
  </si>
  <si>
    <t>Vulnerabilidades no evaluadas en el firmware del cortafuegos; menor confianza en la robustez de la implementación (R-034 del AR-2026-01, riesgo residual MEDIO).</t>
  </si>
  <si>
    <t>Sí</t>
  </si>
  <si>
    <t>1) Bastionado según guía del fabricante y CCN-STIC 600-series; 2) doble capa: IPS/IDS de producto cualificado (CPSTIC) delante del clúster; 3) escaneo de vulnerabilidades semanal y parcheo ≤72 h para críticas; 4) reglas exportadas y revisadas trimestralmente; 5) plan de sustitución aprobado por producto CPSTIC en 2027 (PTR-2026-11).</t>
  </si>
  <si>
    <t>Pentest anual externo sobre el perímetro de respaldo; prueba de conmutación del CPD (op.cont.3) incluye verificación de reglas; revisión del CSI 30/06/2026.</t>
  </si>
  <si>
    <t>Revisión trimestral en el CSI; cierre al sustituir el equipo (fecha objetivo 30/06/2027).</t>
  </si>
  <si>
    <t>R2-Análisis de riesgos formal.
Se deberá realizar un análisis formal, usando un lenguaje específico, con un fundamento matemático reconocido internacionalmente, que:
– [op.pl.1.r2.1] Valore cualitativamente los activos más valiosos del sistema.
– [op.pl.1.r2.2] Cuantifique las amenazas posibles.
– [op.pl.1.r2.3] Valore y priorice las salvaguardas adecuadas.
– [op.pl.1.r2.4] Valore y asuma formalmente el riesgo residual.</t>
  </si>
  <si>
    <t>CSI – ACTA-CSI-2026-03; verificada por auditor en auditoría de certificación 2026</t>
  </si>
  <si>
    <t>R2 análisis formal exigido en ALTA → cumplido (PILAR, modo formal).</t>
  </si>
  <si>
    <t>MC-02</t>
  </si>
  <si>
    <t>mp.if.6 Protección frente a inundaciones</t>
  </si>
  <si>
    <t>CPD principal (Alcobendas): sala técnica en planta baja de edificio arrendado; no es posible reubicar la sala ni instalar drenaje perimetral por restricciones del arrendador.</t>
  </si>
  <si>
    <t>Contrato de arrendamiento hasta 2029; el propietario no autoriza obras estructurales.</t>
  </si>
  <si>
    <t>R1</t>
  </si>
  <si>
    <t>Reducir la probabilidad e impacto de daño por agua a un nivel equivalente al exigido por [mp.if.6].</t>
  </si>
  <si>
    <t>Análisis de riesgos semiformal</t>
  </si>
  <si>
    <t>Inundación por rotura de conducción o lluvias torrenciales (amenaza [I.2]/[N.*] MAGERIT), R-051, riesgo inherente ALTO.</t>
  </si>
  <si>
    <t>APLICA: medida exigida para la categoría ALTA del sistema (afecta a todas las dimensiones). Exigencia: 'aplica'. Riesgos tratados según AR-2026-01. CCN-STIC 808: 4 requisitos de verificación (1 esenciales).</t>
  </si>
  <si>
    <t>Procedimiento de adquisición PRO-COMP-02: requisitos de seguridad en pliegos internos, preferencia por productos CPSTIC, evaluación por el Resp. de Seguridad antes de la compra; alineado con la planificación de capacidad.</t>
  </si>
  <si>
    <t>1) Suelo técnico elevado 40 cm y racks sobre bancada; 2) sensores de agua bajo suelo técnico con alarma al SOC y al NOC; 3) válvulas de corte automático en conducciones que atraviesan la planta; 4) ausencia de canalizaciones de agua sobre la sala (certificado del arrendador); 5) CPD de respaldo con RTO 4 h que absorbe la pérdida total de la sala.</t>
  </si>
  <si>
    <t>Checklist de requisitos de seguridad en el módulo de compras del ERP.</t>
  </si>
  <si>
    <t>Prueba semestral de sensores; inspección anual de la propiedad; simulacro de conmutación anual (REG-CONT-03).</t>
  </si>
  <si>
    <t>No</t>
  </si>
  <si>
    <t>Revisión anual y ante cualquier obra en el edificio; reevaluar en la renovación del arrendamiento (2029).</t>
  </si>
  <si>
    <t>PRO-COMP-02; REG-COMP-2026 (evaluaciones)</t>
  </si>
  <si>
    <t>MC-03</t>
  </si>
  <si>
    <t>Compras / Resp. Seguridad</t>
  </si>
  <si>
    <t>mp.com.3 R3 Dispositivos hardware (cifrado)</t>
  </si>
  <si>
    <t>5.8 Seguridad en la gestión de proyectos; 5.19/5.20 Seguridad en las relaciones con proveedores; 8.29 Pruebas de seguridad en desarrollo y aceptación</t>
  </si>
  <si>
    <t>CCN-STIC 803, 806, 827, 804/808</t>
  </si>
  <si>
    <t>Túneles IPsec site-to-site entre el tenant IaaS (NubeAdmin) y los CPD: el proveedor cloud no ofrece terminación en HSM/dispositivo hardware dedicado.</t>
  </si>
  <si>
    <t>Control de acceso</t>
  </si>
  <si>
    <t>Limitación técnica del proveedor cloud; la alternativa (línea dedicada MPLS con cifrador hardware) triplica el coste y no está prevista hasta 2027.</t>
  </si>
  <si>
    <t>op.acc.3</t>
  </si>
  <si>
    <t>Proteger integridad y autenticidad de las comunicaciones al nivel exigido por [mp.com.3] R3 en categoría ALTA.</t>
  </si>
  <si>
    <t>Segregación de funciones y tareas</t>
  </si>
  <si>
    <t>ICAT</t>
  </si>
  <si>
    <t>Compromiso del material criptográfico en la pasarela software del lado cloud (R-062, residual MEDIO).</t>
  </si>
  <si>
    <t>1) Terminación en los CPD sobre appliance cualificado CPSTIC (cumple R4) con claves en HSM; 2) lado cloud: pasarela con claves custodiadas en el KMS del proveedor con certificación ENS ALTA y rotación mensual; 3) algoritmos y parámetros CCN-STIC 807 (IKEv2, AES-256-GCM, SHA-384, DH grupo 19+); 4) doble capa: TLS 1.3 con mTLS extremo a extremo en las aplicaciones sobre el túnel.</t>
  </si>
  <si>
    <t>n.a.</t>
  </si>
  <si>
    <t>Auditoría de configuración anual (CCN-STIC 807); pruebas de intercepción en pentest; evidencia de rotación de claves.</t>
  </si>
  <si>
    <t>Revisión anual; migración a cifrador hardware dedicado planificada (PTR-2026-14, T3 2027).</t>
  </si>
  <si>
    <t>R1-Análisis de riesgos semiformal.
Se deberá realizar un análisis de riesgos semiformal, usando un lenguaje específico, con un catálogo básico de amenazas y una semántica definida. Es decir, una presentación con tablas que:
– [op.pl.1.r1.1] Valore cualitativamente los activos más valiosos del sistema.
– [op.pl.1.r1.2] Cuantifique las amenazas más probables.
– [op.pl.1.r1.3] Valore las salvaguardas que protegen de dichas amenazas.
– [op.pl.1.r1.4] Valore el riesgo residual.</t>
  </si>
  <si>
    <t>MC-04</t>
  </si>
  <si>
    <t>mp.si.2 R1 Productos certificados (cifrado de soportes)</t>
  </si>
  <si>
    <t>Cintas LTO-9 de copias de seguridad externalizadas: el software de cifrado del robot de cintas no figura en el CPSTIC.</t>
  </si>
  <si>
    <t>Plataforma de backup heredada del contrato anterior; sustitución prevista en la renovación 2027.</t>
  </si>
  <si>
    <t>op.pl.2</t>
  </si>
  <si>
    <t>Asegurar la confidencialidad e integridad de la información en soportes extraíbles al nivel de [mp.si.2] en ALTO.</t>
  </si>
  <si>
    <t>Arquitectura de Seguridad</t>
  </si>
  <si>
    <t>+ R1</t>
  </si>
  <si>
    <t>Pérdida o robo de cintas durante el transporte/custodia externa (R-070).</t>
  </si>
  <si>
    <t>1) Cifrado AES-256 nativo de la unidad LTO con claves gestionadas en HSM cualificado; 2) transporte en maletines con cierre y precinto numerado, empresa de custodia con ISO 27001; 3) inventario y registro de movimientos (mp.si.3/mp.si.4); 4) copia adicional cifrada en el tenant cloud ENS ALTA (cumple R2).</t>
  </si>
  <si>
    <t>Prueba de restauración trimestral desde cinta cifrada; auditoría del proveedor de custodia anual.</t>
  </si>
  <si>
    <t>Revisión anual; cierre al migrar a plataforma de backup con producto cualificado.</t>
  </si>
  <si>
    <t>Sistema de gestión</t>
  </si>
  <si>
    <t>MEDIO/ALTO</t>
  </si>
  <si>
    <t>R1-Sistema de gestión.
[op.pl.2.r1.1] Sistema de gestión, relativo a la planificación, organización y control de los recursos relativos a la seguridad de la información.</t>
  </si>
  <si>
    <t>R1+R2+R3 exigidos en ALTA → cumplidos.</t>
  </si>
  <si>
    <t>Sistema de gestión de la seguridad con mejora continua</t>
  </si>
  <si>
    <t>R2-Sistema de gestión de la seguridad con mejora continua.
[op.pl.2.r2.1] Sistema de gestión de la seguridad de la información, con actualización y aprobación periódica.</t>
  </si>
  <si>
    <t>R3</t>
  </si>
  <si>
    <t>Validación de datos</t>
  </si>
  <si>
    <t>R3-Validación de datos.
[op.pl.2.r3.1] Controles técnicos internos, incluyendo la validación de datos de entrada, salida y datos intermedios.</t>
  </si>
  <si>
    <t>op.pl.4</t>
  </si>
  <si>
    <t>Dimensionamiento/gestión de la capacidad</t>
  </si>
  <si>
    <t>Mejora continua de la gestión de la capacidad</t>
  </si>
  <si>
    <t>R1 –Mejora continua de la gestión de la capacidad.
– [op.pl.4.r1.1] Se realizará una previsión de la capacidad y se mantendrá actualizada durante todo el ciclo de vida del sistema.
– [op.pl.4.r1.2] Se emplearán herramientas y recursos para la monitorización de la capacidad.</t>
  </si>
  <si>
    <t>Dimensión D = ALTO → R1 exigido → cumplido.</t>
  </si>
  <si>
    <t>op.acc.1</t>
  </si>
  <si>
    <t>Identificación</t>
  </si>
  <si>
    <t>Identificación avanzada</t>
  </si>
  <si>
    <t>máx(I=ALTO, C=ALTO, A=ALTO, T=MEDIO) = ALTO</t>
  </si>
  <si>
    <t>R1-Identificación avanzada.
– [op.acc.1.r1.1] La identificación del usuario permitirá al Responsable del Sistema, al Responsable de la Seguridad o a sus respectivos administradores delegados, singularizar a la persona asociada al mismo, así como sus responsabilidades en el sistema.
– [op.acc.1.r1.2] Los datos de identificación serán utilizados por el sistema para determinar los privilegios del usuario conforme a los requisitos de control de acceso establecidos en la documentación de seguridad.
– [op.acc.1.r1.3] Se asegurará la existencia de una lista actualizada de usuarios autorizados y mantenida por el administrador del sistema/de la seguridad del sistema.</t>
  </si>
  <si>
    <t>Dimensiones T (MEDIO) y A (ALTO) → nivel ALTO → R1 exigido → cumplido.</t>
  </si>
  <si>
    <t>op.acc.2</t>
  </si>
  <si>
    <t>R1 Segregación rigurosa</t>
  </si>
  <si>
    <t>Requisitos de acceso</t>
  </si>
  <si>
    <t>Privilegios de acceso</t>
  </si>
  <si>
    <t>APLICA: medida vinculada a la(s) dimensión(es) ICAT; nivel exigido ALTO (máx(I=ALTO, C=ALTO, A=ALTO, T=MEDIO) = ALTO). Exigencia: '+ R1'. Riesgos tratados según AR-2026-01. CCN-STIC 808: 6 requisitos de verificación (0 esenciales).</t>
  </si>
  <si>
    <t>R1-Privilegios de acceso.
– [op.acc.2.r1.1] Todos los usuarios autorizados deben tener un conjunto de atributos de seguridad (privilegios) que puedan ser mantenidos individualmente.
– [op.acc.2.r1.2] Los privilegios de acceso se implementarán para restringir el tipo de acceso que un usuario puede tener (lectura, escritura, modificación, borrado, etc.).</t>
  </si>
  <si>
    <t>R1 Privilegios de acceso exigido en ALTO → cumplido.</t>
  </si>
  <si>
    <t>Segregación rigurosa (R1): desarrollo / operación / auditoría de seguridad en equipos distintos; configuración de seguridad ≠ operación; nadie audita su propia actividad; matriz SoD revisada semestralmente.</t>
  </si>
  <si>
    <t>Controles SoD en IGA (reglas de incompatibilidad); entornos separados; acceso de auditoría de solo lectura a logs (SIEM).</t>
  </si>
  <si>
    <t>Segregación rigurosa</t>
  </si>
  <si>
    <t>MAT-SOD-01; informe semestral SoD (IGA)</t>
  </si>
  <si>
    <t>R1-Segregación rigurosa.
– [op.acc.3.r1.1] Siempre que sea posible, la misma persona no aunará funciones de configuración y mantenimiento del sistema.
– [op.acc.3.r1.2] La misma persona no puede aunar funciones de auditoría o supervisión con cualquier otra función.</t>
  </si>
  <si>
    <t>5.3 Segregación de funciones; 8.2 Derechos de acceso privilegiado</t>
  </si>
  <si>
    <t>op.acc.5</t>
  </si>
  <si>
    <t>CCN-STIC 804/808, 821</t>
  </si>
  <si>
    <t>Mecanismo de autenticación (usuarios externos)</t>
  </si>
  <si>
    <t>Contraseña + OTP</t>
  </si>
  <si>
    <t>BAJO/MEDIO/ALTO</t>
  </si>
  <si>
    <t>op.acc.4</t>
  </si>
  <si>
    <t>Proceso de gestión de derechos de acceso</t>
  </si>
  <si>
    <t>Alternativa (elegir ≥1 del grupo)</t>
  </si>
  <si>
    <t>R2-Contraseña + OTP.
– [op.acc.5.r2.1] Se requerirá una contraseña de un solo uso (OTP, en inglés) como complemento a la contraseña de usuario.</t>
  </si>
  <si>
    <t>Alternativa elegida: R2 (Cl@ve PIN/permanente) y R3/R4 (certificado/DNIe); + R5 registro. Cumple '[R2 o R3 o R4] + R5'.</t>
  </si>
  <si>
    <t>Certificados</t>
  </si>
  <si>
    <t>R3-Certificados.
– [op.acc.5.r3.1] Se emplearán certificados cualificados como mecanismo de autenticación.
– [op.acc.5.r3.2] El uso del certificado estará protegido por un segundo factor, del tipo PIN o biométrico.
– [op.acc.5.r3.3] Las credenciales utilizadas deberán haber sido obtenidas tras un registro previo presencial, o bien telemático, usando un certificado electrónico cualificado.</t>
  </si>
  <si>
    <t>R4</t>
  </si>
  <si>
    <t>Certificados en dispositivo físico</t>
  </si>
  <si>
    <t>R4-Certificados en dispositivo físico.
– [op.acc.5.r4.1] Se emplearán certificados cualificados como mecanismo de autenticación, en soporte físico (tarjeta o similar) usando algoritmos, parámetros y dispositivos autorizados por el CCN.
– [op.acc.5.r4.2] El uso del certificado estará protegido por un segundo factor, del tipo PIN o biométrico.
– [op.acc.5.r4.3] Las credenciales utilizadas deberán haber sido obtenidas tras un registro previo presencial, o bien telemático, usando certificado electrónico cualificado.</t>
  </si>
  <si>
    <t>R5</t>
  </si>
  <si>
    <t>Registro</t>
  </si>
  <si>
    <t>R5-Registro.
– [op.acc.5.r5.1] Se registrarán los accesos con éxito y los fallidos.
– [op.acc.5.r5.2] Se informará al usuario del último acceso efectuado con su identidad.</t>
  </si>
  <si>
    <t>Contraseñas</t>
  </si>
  <si>
    <t>APLICA: medida vinculada a la(s) dimensión(es) ICAT; nivel exigido ALTO (máx(I=ALTO, C=ALTO, A=ALTO, T=MEDIO) = ALTO). Exigencia: 'aplica'. Riesgos tratados según AR-2026-01. CCN-STIC 808: 6 requisitos de verificación (4 esenciales).</t>
  </si>
  <si>
    <t>Procedimiento PRO-IAM-03: solicitud-aprobación-provisión-revisión-revocación; aprobación del propietario del activo; revisión semestral de accesos (recertificación) y trimestral de privilegiados.</t>
  </si>
  <si>
    <t>Workflow de aprobación en IGA; recertificación automática; revocación inmediata al causar baja en RRHH.</t>
  </si>
  <si>
    <t>R1-Contraseñas.
– [op.acc.5.r1.1] Se empleará una contraseña como mecanismo de autenticación.
– [op.acc.5.r1.2] Se impondrán normas de complejidad mínima y robustez frente a ataques de adivinación (ver guías CCN-STIC).</t>
  </si>
  <si>
    <t>PRO-IAM-03; campañas de recertificación 2026-S1; tickets</t>
  </si>
  <si>
    <t>op.acc.6</t>
  </si>
  <si>
    <t>5.18 Derechos de acceso; 8.2 Derechos de acceso privilegiado; 5.15 Control de acceso</t>
  </si>
  <si>
    <t>Mecanismo de autenticación (usuarios de la organización)</t>
  </si>
  <si>
    <t>Explotación</t>
  </si>
  <si>
    <t>op.exp.1</t>
  </si>
  <si>
    <t>Inventario de activos</t>
  </si>
  <si>
    <t>R1-Contraseñas.
– [op.acc.6.r1.1] Se empleará una contraseña como mecanismo de autenticación cuando el acceso se realiza desde zonas controladas y sin atravesar zonas no controladas (véase refuerzo R8).
– [op.acc.6.r1.2] Se impondrán normas de complejidad mínima y robustez frente a ataques de adivinación (ver guías CCN-STIC).</t>
  </si>
  <si>
    <t>Alternativa elegida: R2 para todo el personal y R4 para administradores. Cumple '[R1 o R2 o R3 o R4] + R5 + R6 + R7 + R8 + R9'.</t>
  </si>
  <si>
    <t>Contraseña + otro factor de autenticación</t>
  </si>
  <si>
    <t>R2-Contraseña + otro factor de autenticación.
– [op.acc.6.r2.1] Se requerirá un segundo factor tal como «algo que se tiene», es decir, un dispositivo, una contraseña de un solo uso (OTP, en inglés) como complemento a la contraseña de usuario, o «algo que se es».</t>
  </si>
  <si>
    <t>Inventario de activos INV-01 (hardware, software, información, servicios, comunicaciones, instalaciones, personal) con responsable, ubicación, categoría y dependencias; actualización con cada cambio autorizado; reconciliación trimestral.</t>
  </si>
  <si>
    <t>CMDB (ITSM) alimentada por descubrimiento automático (agentes + escaneo de red) y gestión de licencias; SBOM para software propio.</t>
  </si>
  <si>
    <t>R3-Certificados.
– [op.acc.6.r3.1] Se emplearán certificados cualificados como mecanismo de autenticación.
– [op.acc.6.r3.2] El uso del certificado estará protegido por un segundo factor, del tipo PIN o biométrico.</t>
  </si>
  <si>
    <t>INV-01 (export CMDB 09/2026); PRO-INV-01; informe de reconciliación</t>
  </si>
  <si>
    <t>Jefe de Operaciones TI</t>
  </si>
  <si>
    <t>5.9 Inventario de información y otros activos; 5.12 Clasificación</t>
  </si>
  <si>
    <t>CCN-STIC 804/808, 817, 5xx/6xx</t>
  </si>
  <si>
    <t>op.exp.2</t>
  </si>
  <si>
    <t>Configuración de seguridad</t>
  </si>
  <si>
    <t>R4-Certificados en dispositivo físico.
– [op.acc.6.r4.1] Se emplearán certificados cualificados como mecanismo de autenticación, en soporte físico (tarjeta o similar) usando algoritmos, parámetros y dispositivos autorizados por el CCN.
– [op.acc.6.r4.2] El uso del certificado estará protegido por un segundo factor, del tipo PIN o biométrico.</t>
  </si>
  <si>
    <t>R5-Registro.
– [op.acc.6.r5.1] Se registrarán los accesos con éxito y los fallidos.
– [op.acc.6.r5.2] Se informará al usuario del último acceso efectuado con su identidad.</t>
  </si>
  <si>
    <t>R6</t>
  </si>
  <si>
    <t>Limitación de la ventana de acceso</t>
  </si>
  <si>
    <t>APLICA: medida exigida para la categoría ALTA del sistema (afecta a todas las dimensiones). Exigencia: 'aplica'. Riesgos tratados según AR-2026-01. CCN-STIC 808: 4 requisitos de verificación (3 esenciales).</t>
  </si>
  <si>
    <t>Guías de bastionado por tecnología (CCN-STIC 5xx/6xx y CIS Benchmarks) aprobadas; mínima funcionalidad; cuentas por defecto retiradas; principio de seguridad por defecto; checklist obligatoria antes del paso a producción.</t>
  </si>
  <si>
    <t>Imágenes maestras bastionadas (golden images); GPO/Ansible para configuración; escaneo de cumplimiento de configuración (SCAP) semanal; DLP en endpoints.</t>
  </si>
  <si>
    <t>PRO-HARD-01; checklists CFG-xx; informes SCAP</t>
  </si>
  <si>
    <t>8.9 Gestión de la configuración; 8.19 Instalación de software; 8.12 Prevención de fuga de datos</t>
  </si>
  <si>
    <t>op.exp.5</t>
  </si>
  <si>
    <t>Gestión de cambios</t>
  </si>
  <si>
    <t>R1 Prevención de fallos</t>
  </si>
  <si>
    <t>APLICA: medida exigida para la categoría ALTA del sistema (afecta a todas las dimensiones). Exigencia: '+ R1'. Riesgos tratados según AR-2026-01. CCN-STIC 808: 10 requisitos de verificación (0 esenciales).</t>
  </si>
  <si>
    <t>Gestión de cambios PRO-CHG-01: CAB semanal, evaluación de impacto en seguridad, plan de marcha atrás, cambios de emergencia; prevención de fallos (R1) mediante pruebas obligatorias y análisis de riesgos del cambio.</t>
  </si>
  <si>
    <t>Módulo de cambios en ITSM con aprobación electrónica; entornos dev/pre/pro; despliegues automatizados con rollback.</t>
  </si>
  <si>
    <t>PRO-CHG-01; actas CAB; RFC-2026-xxx</t>
  </si>
  <si>
    <t>8.32 Gestión de cambios; 8.29 Pruebas de seguridad; 8.31 Separación de entornos</t>
  </si>
  <si>
    <t>op.exp.9</t>
  </si>
  <si>
    <t>Registro de la gestión de incidentes</t>
  </si>
  <si>
    <t>APLICA: medida exigida para la categoría ALTA del sistema (afecta a todas las dimensiones). Exigencia: 'aplica'. Riesgos tratados según AR-2026-01. CCN-STIC 808: 5 requisitos de verificación (3 esenciales).</t>
  </si>
  <si>
    <t>Registro de la gestión de incidentes: apertura, cronología, decisiones, evidencias, cierre, lecciones aprendidas; alimenta el análisis de riesgos y las métricas; conservación 5 años.</t>
  </si>
  <si>
    <t>Módulo de incidentes en ITSM enlazado con el SIEM; custodia de evidencias con cadena de custodia (hash, firma) según PRO-INC-02.</t>
  </si>
  <si>
    <t>REG-INC-2026 (37 incidentes); informes post-incidente; PRO-INC-02</t>
  </si>
  <si>
    <t>SOC (SecOps Iberia) / Resp. Seguridad</t>
  </si>
  <si>
    <t>5.26 Respuesta a incidentes; 5.27 Aprender de incidentes; 5.28 Recogida de evidencias</t>
  </si>
  <si>
    <t>Recursos externos</t>
  </si>
  <si>
    <t>op.ext.1</t>
  </si>
  <si>
    <t>Contratación y acuerdos de nivel de servicio</t>
  </si>
  <si>
    <t>APLICA: medida exigida para la categoría ALTA del sistema (afecta a todas las dimensiones). Exigencia: 'aplica'. Riesgos tratados según AR-2026-01. CCN-STIC 808: 2 requisitos de verificación (0 esenciales).</t>
  </si>
  <si>
    <t>Contratación de terceros con cláusulas ENS/RGPD (modelo CON-SEC-01): roles y responsabilidades, medidas exigidas, ANS con penalizaciones, derecho de auditoría, notificación de incidentes ≤24 h, subcontratación autorizada; acuerdos de confidencialidad.</t>
  </si>
  <si>
    <t>Registro de proveedores en el ERP con estado de evaluación de seguridad; portal de intercambio seguro.</t>
  </si>
  <si>
    <t>R6-Limitación de la ventana de acceso.
– [op.acc.6.r6.1] Se definirán aquellos puntos en los que el sistema requerirá una renovación de la autenticación del usuario, mediante identificación singular, no bastando con la sesión establecida.</t>
  </si>
  <si>
    <t>Contratos SecOps Iberia, NubeAdmin, custodia de soportes; CON-SEC-01; REG-PROV-01</t>
  </si>
  <si>
    <t>5.19 Seguridad en relaciones con proveedores; 5.20 Seguridad en acuerdos con proveedores; 6.6 Acuerdos de confidencialidad; 5.14 Transferencia de información</t>
  </si>
  <si>
    <t>R7</t>
  </si>
  <si>
    <t>CCN-STIC 811, 830, 804/808</t>
  </si>
  <si>
    <t>Suspensión por no utilización</t>
  </si>
  <si>
    <t>op.ext.2</t>
  </si>
  <si>
    <t>Gestión diaria</t>
  </si>
  <si>
    <t>R7-Suspensión por no utilización.
– [op.acc.6.r7.1] Las credenciales se suspenderán tras un periodo definido de no utilización.</t>
  </si>
  <si>
    <t>R8</t>
  </si>
  <si>
    <t>Doble factor para acceso desde o a través de zonas no controladas</t>
  </si>
  <si>
    <t>R8-Doble factor para acceso desde o a través de zonas no controladas.
Se denomina «zona controlada» aquella que no es de acceso público, requiriéndose que el usuario, antes de tener acceso al equipo, se haya autenticado previamente de alguna forma (control de acceso a las instalaciones), diferente del mecanismo de autenticación lógica frente al sistema. Un ejemplo de zona no controlada es Internet.
– [op.acc.6.r8.1] Para el acceso desde o a través de zonas no controladas se requerirá un doble factor de autenticación: R2, R3 o R4.</t>
  </si>
  <si>
    <t>R9</t>
  </si>
  <si>
    <t>Acceso remoto (todos los niveles)</t>
  </si>
  <si>
    <t>R9-Acceso remoto (todos los niveles).
– [op.acc.6.r9.1] Será de aplicación la ITS de Interconexión de sistemas de información.
– [op.acc.6.r9.2] El acceso remoto deberá considerar los siguientes aspectos:
a) Ser autorizado por la autoridad correspondiente.
b) El tráfico deberá ser cifrado.
c) Si la utilización no se produce de manera constante, el acceso remoto deberá encontrarse inhabilitado y habilitarse únicamente cuando sea necesario.
d) Deberán recogerse registros de auditoría de este tipo de conexiones.</t>
  </si>
  <si>
    <t>APLICA: medida exigida para la categoría ALTA del sistema (afecta a todas las dimensiones). Exigencia: 'aplica'. Riesgos tratados según AR-2026-01. CCN-STIC 808: 4 requisitos de verificación (0 esenciales).</t>
  </si>
  <si>
    <t>op.exp.3</t>
  </si>
  <si>
    <t>Gestión diaria de servicios externos (PRO-PROV-02): responsable interno por proveedor, seguimiento mensual de ANS e indicadores, gestión de incidencias y cambios del proveedor, reuniones de servicio.</t>
  </si>
  <si>
    <t>Gestión de la configuración de seguridad</t>
  </si>
  <si>
    <t>Cuadro de mando de ANS (Power BI) con datos del ITSM; canal cifrado para coordinación de incidentes.</t>
  </si>
  <si>
    <t>Mantenimiento regular de la configuración</t>
  </si>
  <si>
    <t>Informes mensuales de servicio; actas de seguimiento</t>
  </si>
  <si>
    <t>5.22 Seguimiento, revisión y gestión de cambios de servicios de proveedores</t>
  </si>
  <si>
    <t>R1-Mantenimiento regular de la configuración.
– [op.exp.3.r1.1] Existirán configuraciones hardware/software, autorizadas y mantenidas regularmente, para los servidores, elementos de red y estaciones de trabajo.
– [op.exp.3.r1.2] Se verificará periódicamente la configuración hardware/software del sistema para asegurar que no se han introducido ni instalado elementos no autorizados.
– [op.exp.3.r1.3] Se mantendrá una lista de servicios autorizados para servidores y estaciones de trabajo.</t>
  </si>
  <si>
    <t>R1+R2+R3 exigidos → cumplidos.</t>
  </si>
  <si>
    <t>Continuidad del servicio</t>
  </si>
  <si>
    <t>op.cont.2</t>
  </si>
  <si>
    <t>Plan de continuidad</t>
  </si>
  <si>
    <t>Responsabilidad de la configuración</t>
  </si>
  <si>
    <t>R2-Responsabilidad de la configuración.
– [op.exp.3.r2.1] La configuración de seguridad del sistema operativo y aplicaciones, tanto de estaciones y servidores como de la electrónica de red del sistema, será responsabilidad de un número muy limitado de administradores del sistema.</t>
  </si>
  <si>
    <t>Copias de seguridad</t>
  </si>
  <si>
    <t>R3-Copias de seguridad.
– [op.exp.3.r3.1] Se realizarán copias de seguridad de la configuración del sistema de forma que sea posible reconstruirlo en parte o en su totalidad tras un incidente.</t>
  </si>
  <si>
    <t>op.exp.4</t>
  </si>
  <si>
    <t>Mantenimiento y actualizaciones de seguridad</t>
  </si>
  <si>
    <t>Pruebas en preproducción</t>
  </si>
  <si>
    <t>R1-Pruebas en preproducción.
[op.exp.4.r1.1] Antes de poner en producción una nueva versión o una versión parcheada, se comprobará en un entorno de prueba controlado y consistente en configuración al entorno de producción, que la nueva instalación funciona correctamente y no disminuye la eficacia de las funciones necesarias para el trabajo diario.</t>
  </si>
  <si>
    <t>R1+R2 exigidos → cumplidos.</t>
  </si>
  <si>
    <t>Prevención de fallos</t>
  </si>
  <si>
    <t>máx(D=ALTO) = ALTO</t>
  </si>
  <si>
    <t>R2-Prevención de fallos.
[op.exp.4.r2.1] Antes de la aplicación de las configuraciones, parches y actualizaciones de seguridad se preverá un mecanismo para revertirlos en caso de aparición de efectos adversos.</t>
  </si>
  <si>
    <t>APLICA: medida vinculada a la(s) dimensión(es) D; nivel exigido ALTO (máx(D=ALTO) = ALTO). Exigencia: 'aplica'. Riesgos tratados según AR-2026-01. CCN-STIC 808: 7 requisitos de verificación (0 esenciales).</t>
  </si>
  <si>
    <t>Plan de Continuidad PCN-01 y Plan de Recuperación ante Desastres DRP-01: activación, roles, comunicación, procedimientos de recuperación por servicio, retorno a la normalidad; plan de emergencia y contingencia integrado; revisión anual.</t>
  </si>
  <si>
    <t>Replicación síncrona de almacenamiento entre CPD (14 km), orquestación de conmutación, copias inmutables externas; runbooks automatizados.</t>
  </si>
  <si>
    <t>PCN-01 v3; DRP-01; árbol de llamadas</t>
  </si>
  <si>
    <t>5.29 Seguridad durante la disrupción; 5.30 Preparación TIC continuidad</t>
  </si>
  <si>
    <t>CCN-STIC 804/808; ISO 22301</t>
  </si>
  <si>
    <t>R1-Prevención de fallos.
– [op.exp.5.r1.1] Antes de la aplicación de los cambios, se deberá tener en cuenta la posibilidad de revertirlos en caso de la aparición de efectos adversos.
– [op.exp.5.r1.2] Todos los fallos en el software y hardware deberán ser comunicados al responsable designado en la organización de la seguridad.
– [op.exp.5.r1.3] Todos los cambios en el sistema deberán documentarse, incluyendo una valoración del impacto que dicho cambio supone en la seguridad del sistema.</t>
  </si>
  <si>
    <t>op.cont.3</t>
  </si>
  <si>
    <t>op.exp.6</t>
  </si>
  <si>
    <t>Pruebas periódicas</t>
  </si>
  <si>
    <t>Protección frente a código dañino</t>
  </si>
  <si>
    <t>Escaneo periódico</t>
  </si>
  <si>
    <t>R1-Escaneo periódico.
– [op.exp.6.r1.1] Todo el sistema se escaneará regularmente para detectar código dañino.</t>
  </si>
  <si>
    <t>R1+R2+R3+R4 exigidos → cumplidos.</t>
  </si>
  <si>
    <t>Revisión preventiva del sistema</t>
  </si>
  <si>
    <t>R2-Revisión preventiva del sistema.
– [op.exp.6.r2.1] Las funciones críticas se analizarán al arrancar el sistema en prevención de modificaciones no autorizadas.</t>
  </si>
  <si>
    <t>Lista blanca</t>
  </si>
  <si>
    <t>APLICA: medida vinculada a la(s) dimensión(es) D; nivel exigido ALTO (máx(D=ALTO) = ALTO). Exigencia: 'aplica'. Riesgos tratados según AR-2026-01. CCN-STIC 808: 5 requisitos de verificación (0 esenciales).</t>
  </si>
  <si>
    <t>Programa anual de pruebas: prueba de mesa (T1), conmutación parcial de servicio (T2), conmutación completa de CPD (T4); informe y acciones correctivas; participación de las consejerías.</t>
  </si>
  <si>
    <t>R3 - Lista blanca.
– [op.exp.6.r3.1] Solamente se podrán ejecutar aquellas aplicaciones previamente autorizadas. Se implementará una lista blanca para impedir la ejecución de aplicaciones no autorizadas.</t>
  </si>
  <si>
    <t>Entorno de pruebas de recuperación aislado; automatización de restauraciones.</t>
  </si>
  <si>
    <t>REG-CONT-03 (pruebas 2025-2026); informe de conmutación 11/2025</t>
  </si>
  <si>
    <t>Capacidad de respuesta en caso de incidente</t>
  </si>
  <si>
    <t>5.30 Preparación TIC continuidad (pruebas); 8.14 Redundancia</t>
  </si>
  <si>
    <t>R4-Capacidad de respuesta en caso de incidente.
– [op.exp.6.r4.1] Se emplearán herramientas de seguridad orientadas a detectar, investigar y resolver actividades sospechosas en puestos de usuario y servidores (EDR - Endpoint Detection and Response).</t>
  </si>
  <si>
    <t>op.cont.4</t>
  </si>
  <si>
    <t>Medios alternativos</t>
  </si>
  <si>
    <t>op.exp.7</t>
  </si>
  <si>
    <t>Gestión de incidentes</t>
  </si>
  <si>
    <t>Notificación</t>
  </si>
  <si>
    <t>R1-Notificación.
– [op.exp.7.r1.1] Se dispondrá de soluciones de ventanilla única para la notificación de incidentes al CCN-CERT, que permita la distribución de notificaciones a las diferentes entidades de manera federada, utilizando para ello dependencias administrativas jerárquicas.</t>
  </si>
  <si>
    <t>Detección y Respuesta</t>
  </si>
  <si>
    <t>R2 –Detección y Respuesta.
El proceso integral para hacer frente a los incidentes que puedan tener un impacto en la seguridad del sistema ([op.exp.7.1]) deberá incluir:
– [op.exp.7.r2.1] Implantación de medidas urgentes, incluyendo la detención de servicios, el aislamiento del sistema afectado, la recogida de evidencias y protección de los registros, según convenga al caso.
– [op.exp.7.r2.2] Asignación de recursos para investigar las causas, analizar las consecuencias y resolver el incidente.
– [op.exp.7.r2.3] Informar del incidente a los responsables de la información y servicios afectados y de las actuaciones llevadas a cabo para su resolución.
– [op.exp.7.r2.4] Medidas para:
a) Prevenir que se repita el incidente.
b) Incluir en los procedimientos de usuario la identificación y forma de tratar el incidente.
c) Actualizar, extender, mejorar u optimizar los procedimientos de resolución de incidentes.</t>
  </si>
  <si>
    <t>Reconfiguración dinámica</t>
  </si>
  <si>
    <t>APLICA: medida vinculada a la(s) dimensión(es) D; nivel exigido ALTO (máx(D=ALTO) = ALTO). Exigencia: 'aplica'. Riesgos tratados según AR-2026-01. CCN-STIC 808: 3 requisitos de verificación (0 esenciales).</t>
  </si>
  <si>
    <t>Medios alternativos garantizados: CPD de respaldo activo-pasivo, personal alternativo formado (matriz de sustitución), instalaciones alternativas de trabajo (teletrabajo seguro + oficina de respaldo), proveedores alternativos de comunicaciones, contratos de continuidad con SecOps y NubeAdmin.</t>
  </si>
  <si>
    <t>Doble operador de comunicaciones con rutas físicas distintas; capacidad de reserva en cloud ENS ALTA; VPN dimensionada para el 100 % de la plantilla.</t>
  </si>
  <si>
    <t>R3-Reconfiguración dinámica.
La reconfiguración dinámica del sistema persigue detener, desviar o limitar ataques, acotando los daños.
– [op.exp.7.r3.1] La reconfiguración dinámica incluye, por ejemplo, cambios en las reglas de los enrutadores (routers), listas de control de acceso, parámetros del sistema de detección / prevención de intrusiones y reglas en los cortafuegos y puertas de enlace, aislamiento de elementos críticos y aislamiento de las copias de seguridad.
– [op.exp.7.r3.2] El organismo adaptará los procedimientos de reconfiguración dinámica reaccionando a los anuncios recibidos del CCN-CERT relativos a ciberamenazas sofisticadas y campañas de ataques.</t>
  </si>
  <si>
    <t>DRP-01 anexo B (medios alternativos); contratos; MAT-SUST-01</t>
  </si>
  <si>
    <t>op.exp.8</t>
  </si>
  <si>
    <t>8.14 Redundancia de instalaciones de tratamiento; 5.30 Preparación TIC continuidad</t>
  </si>
  <si>
    <t>Registro de la actividad</t>
  </si>
  <si>
    <t>Revisión de los registros</t>
  </si>
  <si>
    <t>Protección de las instalaciones e infraestructuras</t>
  </si>
  <si>
    <t>mp.if.1</t>
  </si>
  <si>
    <t>Áreas separadas y con control de acceso</t>
  </si>
  <si>
    <t>R1-Revisión de los registros.
– [op.exp.8.r1.1] Se revisarán informalmente, de forma periódica, los registros de actividad, buscando patrones anormales.</t>
  </si>
  <si>
    <t>Dimensión T = MEDIO → exigidos R1-R4; R5 (revisión automática y correlación) no exigido pero implantado voluntariamente (exceso de cumplimiento).</t>
  </si>
  <si>
    <t>Sincronización del reloj del sistema</t>
  </si>
  <si>
    <t>Resumen de la Declaración de Aplicabilidad – calculado con fórmulas sobre la hoja 'SoA ENS'</t>
  </si>
  <si>
    <t>R2-Sincronización del reloj del sistema.
– [op.exp.8.r2.1] El sistema deberá disponer de una referencia de tiempo (timestamp) para facilitar las funciones de registro de eventos y auditoría. La modificación de la referencia de tiempo del sistema será una función de administración y, en caso de realizarse su sincronización con otros dispositivos, deberán utilizarse mecanismos de autenticación e integridad.</t>
  </si>
  <si>
    <t>Retención de registros</t>
  </si>
  <si>
    <t>Indicador</t>
  </si>
  <si>
    <t>Valor</t>
  </si>
  <si>
    <t>APLICA: medida exigida para la categoría ALTA del sistema (afecta a todas las dimensiones). Exigencia: 'aplica'. Riesgos tratados según AR-2026-01. CCN-STIC 808: 4 requisitos de verificación (2 esenciales).</t>
  </si>
  <si>
    <t>R3-Retención de registros.
– [op.exp.8.r3.1] En la documentación de seguridad del sistema se deberán indicar los eventos de seguridad que serán auditados y el tiempo de retención de los registros antes de ser eliminados.</t>
  </si>
  <si>
    <t>Zonificación de instalaciones (pública, oficinas, salas técnicas, CPD) con control de acceso por zona y autorización nominal; visitantes acompañados; revisión trimestral de accesos.</t>
  </si>
  <si>
    <t>Control de acceso con tarjeta + PIN en oficinas; tarjeta + biometría en CPD y salas técnicas; esclusa en CPD; CCTV con retención 30 días.</t>
  </si>
  <si>
    <t>Medidas del Anexo II</t>
  </si>
  <si>
    <t>PRO-FIS-01; planos de zonificación; REG-ACC-FIS</t>
  </si>
  <si>
    <t>Facilities / Resp. del Sistema</t>
  </si>
  <si>
    <t>7.1 Perímetros de seguridad física; 7.2 Entradas físicas; 7.3 Oficinas, salas e instalaciones; 7.4 Vigilancia física; 7.6 Trabajo en áreas seguras</t>
  </si>
  <si>
    <t>CCN-STIC 804/808</t>
  </si>
  <si>
    <t>mp.if.2</t>
  </si>
  <si>
    <t>R4-Control de acceso.
– [op.exp.8.r4.1] Los registros de actividad y, en su caso, las copias de seguridad de los mismos, solamente podrán ser accedidos o eliminarse por personal debidamente autorizado.</t>
  </si>
  <si>
    <t>Identificación de las personas</t>
  </si>
  <si>
    <t>Revisión automática y correlación de eventos</t>
  </si>
  <si>
    <t>R5-Revisión automática y correlación de eventos.
– [op.exp.8.r5.1] El sistema deberá implementar herramientas para analizar y revisar la actividad del sistema y la información de auditoría, en búsqueda de comprometimientos de la seguridad posibles o reales.
– [op.exp.8.r5.2] Se dispondrá de un sistema automático de recolección de registros, correlación de eventos y respuesta automática ante los mismos.</t>
  </si>
  <si>
    <t>op.exp.10</t>
  </si>
  <si>
    <t>Protección de claves criptográficas</t>
  </si>
  <si>
    <t>Algoritmos autorizados</t>
  </si>
  <si>
    <t>R1-Algoritmos autorizados.
– [op.exp.10.r1.1] Se emplearán algoritmos y parámetros autorizados por el CCN.</t>
  </si>
  <si>
    <t>R1 exigido → cumplido.</t>
  </si>
  <si>
    <t>APLICA: medida exigida para la categoría ALTA del sistema (afecta a todas las dimensiones). Exigencia: 'aplica'. Riesgos tratados según AR-2026-01. CCN-STIC 808: 3 requisitos de verificación (1 esenciales).</t>
  </si>
  <si>
    <t>op.ext.4</t>
  </si>
  <si>
    <t>Identificación de todas las personas: tarjeta visible, registro de visitas (nombre, empresa, motivo, hora, acompañante), identificación del personal de proveedores.</t>
  </si>
  <si>
    <t>Interconexión de sistemas</t>
  </si>
  <si>
    <t>Sistema de gestión de visitas con registro electrónico; tornos en recepción.</t>
  </si>
  <si>
    <t>Coordinación de actividades</t>
  </si>
  <si>
    <t>REG-VIS-2026; PRO-FIS-01</t>
  </si>
  <si>
    <t>7.2 Controles físicos de entrada; 7.4 Vigilancia de la seguridad física</t>
  </si>
  <si>
    <t>R1-Coordinación de actividades.
– [op.ext.4.r1.1] Cuando se interconecten sistemas en los que la identificación, autenticación y autorización tengan lugar en diferentes dominios de seguridad, bajo distintas responsabilidades, las medidas de seguridad locales se acompañarán de los correspondientes mecanismos y procedimientos de coordinación para la atribución y ejercicio efectivos de las responsabilidades de cada sistema.</t>
  </si>
  <si>
    <t>mp.if.3</t>
  </si>
  <si>
    <t>Acondicionamiento de los locales</t>
  </si>
  <si>
    <t>op.nub.1</t>
  </si>
  <si>
    <t>Protección de servicios en la nube</t>
  </si>
  <si>
    <t>Servicios certificados</t>
  </si>
  <si>
    <t>Medidas aplicables (SÍ)</t>
  </si>
  <si>
    <t>Dimensiones</t>
  </si>
  <si>
    <t>R1- Servicios certificados.
– [op.nub.1.r1.1] Cuando se utilicen servicios en la nube suministrados por terceros, estos deberán estar certificados bajo una metodología de certificación reconocida por el Organismo de Certificación del Esquema Nacional de Evaluación y Certificación de Seguridad de las Tecnologías de la Información.
– [op.nub.1.r1.2] Si el servicio en la nube es un servicio de seguridad deberá cumplir con los requisitos establecidos en [op.pl.5].</t>
  </si>
  <si>
    <t>Bajo</t>
  </si>
  <si>
    <t>Medio</t>
  </si>
  <si>
    <t>Alto</t>
  </si>
  <si>
    <t>Guías de Configuración de Seguridad Específicas</t>
  </si>
  <si>
    <t>Texto de la medida (RD 311/2022, Anexo II)</t>
  </si>
  <si>
    <t>Refuerzos (texto)</t>
  </si>
  <si>
    <t>R2-Guías de Configuración de Seguridad Específicas.
– [op.nub.1.r2.1] La configuración de seguridad de los sistemas que proporcionan estos servicios deberá realizarse según la correspondiente guía CCN-STIC de Configuración de Seguridad Específica, orientadas tanto al usuario como al proveedor.</t>
  </si>
  <si>
    <t>op.mon.1</t>
  </si>
  <si>
    <t>org.1</t>
  </si>
  <si>
    <t>Detección de intrusión</t>
  </si>
  <si>
    <t>Política de seguridad</t>
  </si>
  <si>
    <t>Medidas aplicables con medida compensatoria</t>
  </si>
  <si>
    <t>Detección basada en reglas</t>
  </si>
  <si>
    <t>APLICA: medida exigida para la categoría ALTA del sistema (afecta a todas las dimensiones). Exigencia: 'aplica'. Riesgos tratados según AR-2026-01. CCN-STIC 808: 5 requisitos de verificación (2 esenciales).</t>
  </si>
  <si>
    <t>R1-Detección basada en reglas.
– [op.mon.1.r1.1] El sistema dispondrá de herramientas de detección o prevención de intrusiones basadas en reglas.</t>
  </si>
  <si>
    <t>Acondicionamiento de locales según buenas prácticas (TIA-942 Tier III en CPD): temperatura y humedad controladas, protección del cableado, protección frente a interferencias, no señalización de la sala.</t>
  </si>
  <si>
    <t>Climatización redundante N+1; monitorización ambiental (DCIM) con alertas; cableado estructurado en bandejas cerradas y etiquetado.</t>
  </si>
  <si>
    <t>La política de seguridad, que se aprobará de conformidad con lo dispuesto en el artículo 12 de este real decreto, se plasmará en un documento en el que, de forma clara, se precise, al menos, lo siguiente:
– [org.1.1] Los objetivos o misión de la organización.
– [org.1.2] El marco legal y regulatorio en el que se desarrollarán las actividades.
– [org.1.3] Los roles o funciones de seguridad, definiendo para cada uno los deberes y responsabilidades del cargo, así como el procedimiento para su designación y renovación.
– [org.1.4] La estructura del comité o los comités para la gestión y coordinación de la seguridad, detallando su ámbito de responsabilidad, las personas integrantes y la relación con otros elementos de la organización.
– [org.1.5] Las directrices para la estructuración de la documentación de seguridad del sistema, su gestión y acceso.</t>
  </si>
  <si>
    <t>Informe DCIM; certificado de instalación</t>
  </si>
  <si>
    <t>Procedimientos de respuesta</t>
  </si>
  <si>
    <t>7.5 Protección contra amenazas físicas y ambientales; 7.8 Ubicación y protección de equipos; 7.12 Seguridad del cableado</t>
  </si>
  <si>
    <t>R2-Procedimientos de respuesta.
– [op.mon.1.r2.1] Existirán procedimientos de respuesta a las alertas generadas por el sistema de detección o prevención de intrusiones.</t>
  </si>
  <si>
    <t>mp.if.5</t>
  </si>
  <si>
    <t>Protección frente a incendios</t>
  </si>
  <si>
    <t>Medidas NO aplicables (exclusiones justificadas)</t>
  </si>
  <si>
    <t>op.mon.2</t>
  </si>
  <si>
    <t>Sistema de métricas</t>
  </si>
  <si>
    <t>Se dispondrá de una serie de documentos que describan:
– [org.2.1] El uso correcto de equipos, servicios e instalaciones, así como lo que se considerará uso indebido.
– [org.2.2] La responsabilidad del personal con respecto al cumplimiento o violación de la normativa: derechos, deberes y medidas disciplinarias de acuerdo con la legislación vigente.</t>
  </si>
  <si>
    <t>Efectividad del sistema de gestión de incidentes</t>
  </si>
  <si>
    <t>R1-Efectividad del sistema de gestión de incidentes.
– [op.mon.2.r1.1] Se recopilarán los datos precisos que posibiliten evaluar el comportamiento del sistema de gestión de incidentes, de acuerdo con la Instrucción Técnica de Seguridad de Notificación de Incidentes de Seguridad y con la correspondiente guía CCN-STIC.</t>
  </si>
  <si>
    <t>Implantadas</t>
  </si>
  <si>
    <t>Eficiencia del sistema de gestión de la seguridad</t>
  </si>
  <si>
    <t>Se dispondrá de una serie de documentos que detallen de forma clara y precisa cómo operar los elementos del sistema de información:
– [org.3.1] Cómo llevar a cabo las tareas habituales.
– [org.3.2] Quién debe hacer cada tarea.
– [org.3.3] Cómo identificar y reportar comportamientos anómalos.
– [org.3.4.] La forma en que se ha de tratar la información en consideración al nivel de seguridad que requiere, precisando cómo efectuar:
a) Su control de acceso.
b) Su almacenamiento.
c) La realización de copias.
d) El etiquetado de soportes.
e) Su transmisión telemática.
f) Cualquier otra actividad relacionada con dicha información.</t>
  </si>
  <si>
    <t>R2-Eficiencia del sistema de gestión de la seguridad.
– [op.mon.2.r2.1] Se recopilarán los datos precisos para conocer la eficiencia del sistema de seguridad, en relación con los recursos consumidos, en términos de horas y presupuesto.</t>
  </si>
  <si>
    <t>op.mon.3</t>
  </si>
  <si>
    <t>Vigilancia</t>
  </si>
  <si>
    <t>Correlación de eventos</t>
  </si>
  <si>
    <t>Parciales (incl. compensadas)</t>
  </si>
  <si>
    <t>APLICA: medida vinculada a la(s) dimensión(es) D; nivel exigido ALTO (máx(D=ALTO) = ALTO). Exigencia: 'aplica'. Riesgos tratados según AR-2026-01. CCN-STIC 808: 3 requisitos de verificación (3 esenciales).</t>
  </si>
  <si>
    <t>Se establecerá un proceso formal de autorizaciones que cubra todos los elementos del sistema de información concernidos:
– [org.4.1] Utilización de instalaciones, habituales y alternativas.
– [org.4.2] Entrada de equipos en producción, en particular, equipos que involucren criptografía.
– [org.4.3] Entrada de aplicaciones en producción.
– [org.4.4] Establecimiento de enlaces de comunicaciones con otros sistemas.
– [org.4.5] Utilización de medios de comunicación, habituales y alternativos.
– [org.4.6] Utilización de soportes de información.
– [org.4.7] Utilización de equipos móviles. Se entenderá por equipos móviles ordenadores portátiles, tabletas, teléfonos móviles u otros de naturaleza análoga.
– [org.4.8] Utilización de servicios de terceros, bajo contrato o convenio, concesión, encargo, etc.</t>
  </si>
  <si>
    <t>R1-Correlación de eventos.
– [op.mon.3.r1.1] Se dispondrá de un sistema automático de recolección de eventos de seguridad que permita la correlación de los mismos.</t>
  </si>
  <si>
    <t>Protección contra incendios conforme a normativa (CTE, RIPCI): plan de autoprotección, inspecciones anuales, formación de equipos de emergencia.</t>
  </si>
  <si>
    <t>Detección temprana por aspiración (VESDA), extinción por gas inerte en CPD, extintores y BIE en oficinas, sectorización RF-90.</t>
  </si>
  <si>
    <t>R5 minería de datos en despliegue (data lake) → PTR-2026-07, fecha objetivo 31/12/2026. R1-R4 y R6 cumplidos.</t>
  </si>
  <si>
    <t>Certificado de mantenimiento PCI 2026; plan de autoprotección</t>
  </si>
  <si>
    <t>Análisis dinámico</t>
  </si>
  <si>
    <t>7.5 Protección contra amenazas físicas y ambientales</t>
  </si>
  <si>
    <t>R2-Análisis dinámico.
– [op.mon.3.r2.1] Se dispondrá de soluciones de vigilancia que permitan determinar la superficie de exposición con relación a vulnerabilidades y deficiencias de configuración.</t>
  </si>
  <si>
    <t>mp.if.7</t>
  </si>
  <si>
    <t>Registro de entrada y salida de equipamiento</t>
  </si>
  <si>
    <t>+ R2</t>
  </si>
  <si>
    <t>Planificadas / no implantadas</t>
  </si>
  <si>
    <t>Se realizará un análisis de riesgos informal, realizado en lenguaje natural. Es decir, una exposición textual que:
– [op.pl.1.1] Identifique los activos más valiosos del sistema. (Ver op.exp.1).
– [op.pl.1.2] Identifique las amenazas más probables.
– [op.pl.1.3] Identifique las salvaguardas que protegen de dichas amenazas.
– [op.pl.1.4] Identifique los principales riesgos residuales.</t>
  </si>
  <si>
    <t>Ciberamenazas avanzadas</t>
  </si>
  <si>
    <t>R3-Ciberamenazas avanzadas.
– [op.mon.3.r3.1] Se dispondrá de sistemas para detección de amenazas avanzadas y comportamientos anómalos.
– [op.mon.3.r3.2] Se dispondrá de sistemas para la detección de amenazas persistentes avanzadas (Advanced Persistent Threat, APT) mediante la detección de anomalías significativas en el tráfico de la red.</t>
  </si>
  <si>
    <t>R1-Análisis de riesgos semiformal.
Se deberá realizar un análisis de riesgos semiformal, usando un lenguaje específico, con un catálogo básico de amenazas y una semántica definida. Es decir, una presentación con tablas que:
– [op.pl.1.r1.1] Valore cualitativamente los activos más valiosos del sistema.
– [op.pl.1.r1.2] Cuantifique las amenazas más probables.
– [op.pl.1.r1.3] Valore las salvaguardas que protegen de dichas amenazas.
– [op.pl.1.r1.4] Valore el riesgo residual.
R2-Análisis de riesgos formal.
Se deberá realizar un análisis formal, usando un lenguaje específico, con un fundamento matemático reconocido internacionalmente, que:
– [op.pl.1.r2.1] Valore cualitativamente los activos más valiosos del sistema.
– [op.pl.1.r2.2] Cuantifique las amenazas posibles.
– [op.pl.1.r2.3] Valore y priorice las salvaguardas adecuadas.
– [op.pl.1.r2.4] Valore y asuma formalmente el riesgo residual.</t>
  </si>
  <si>
    <t>Observatorios digitales</t>
  </si>
  <si>
    <t>+ R1 + R2 + R3</t>
  </si>
  <si>
    <t>R4-Observatorios digitales.
– [op.mon.3.r4.1] Se dispondrá de observatorios digitales con fines de cibervigilancia dedicados a la detección y seguimiento de anomalías que pudieran representar indicadores de amenaza en contenidos digitales.</t>
  </si>
  <si>
    <t>La seguridad del sistema será objeto de un planteamiento integral detallando, al menos, los siguientes aspectos:
– [op.pl.2.1] Documentación de las instalaciones, incluyendo áreas y puntos de acceso.
– [op.pl.2.2] Documentación del sistema, incluyendo equipos, redes internas y conexiones al exterior, y puntos de acceso al sistema (puestos de trabajo y consolas de administración).
– [op.pl.2.3] Esquema de líneas de defensa, incluyendo puntos de interconexión a otros sistemas o a otras redes (en especial, si se trata de internet o redes públicas en general); cortafuegos, DMZ, etc.; y la utilización de tecnologías diferentes para prevenir vulnerabilidades que pudieran perforar simultáneamente varias líneas de defensa.
– [op.pl.2.4] Sistema de identificación y autenticación de usuarios, incluyendo el uso de claves concertadas, contraseñas, tarjetas de identificación, biometría, u otras de naturaleza análoga, y el uso de ficheros o directorios para autenticar al usuario y determinar sus derechos de acceso.</t>
  </si>
  <si>
    <t>R1-Sistema de gestión.
[op.pl.2.r1.1] Sistema de gestión, relativo a la planificación, organización y control de los recursos relativos a la seguridad de la información.
R2-Sistema de gestión de la seguridad con mejora continua.
[op.pl.2.r2.1] Sistema de gestión de la seguridad de la información, con actualización y aprobación periódica.
R3-Validación de datos.
[op.pl.2.r3.1] Controles técnicos internos, incluyendo la validación de datos de entrada, salida y datos intermedios.</t>
  </si>
  <si>
    <t>Minería de datos</t>
  </si>
  <si>
    <t>APLICA: medida exigida para la categoría ALTA del sistema (afecta a todas las dimensiones). Exigencia: 'aplica'. Riesgos tratados según AR-2026-01. CCN-STIC 808: 2 requisitos de verificación (1 esenciales).</t>
  </si>
  <si>
    <t>Registro de entrada y salida de equipamiento (PRO-FIS-02): autorización previa, identificación del equipo (etiqueta/serie), portador, fecha/hora, destino.</t>
  </si>
  <si>
    <t>Registro electrónico en el ITSM enlazado con la CMDB; etiquetas RFID en activos del CPD con detección en puertas.</t>
  </si>
  <si>
    <t>Grado medio de implantación (medidas aplicables)</t>
  </si>
  <si>
    <t>Se establecerá un proceso formal para planificar la adquisición de nuevos componentes del sistema, proceso que:
– [op.pl.3.1] Atenderá a las conclusiones del análisis de riesgos ([op.pl.1]).
– [op.pl.3.2] Será acorde a la arquitectura de seguridad escogida ([op.pl.2]).
– [op.pl.3.3] Contemplará las necesidades técnicas, de formación y de financiación, de forma conjunta.</t>
  </si>
  <si>
    <t>R5-Minería de datos.
Se aplicarán medidas para prevenir, detectar y reaccionar frente a intentos de minería de datos:
– [op.mon.3.r5.1] Limitación de las consultas, monitorizando volumen y frecuencia.
– [op.mon.3.r5.2] Alerta a los administradores de seguridad de comportamientos sospechosos en tiempo real.</t>
  </si>
  <si>
    <t>REG-EQ-2026; PRO-FIS-02</t>
  </si>
  <si>
    <t>7.2 Controles físicos de entrada; 7.9 Seguridad de activos fuera de las instalaciones; 7.10 Soportes de almacenamiento</t>
  </si>
  <si>
    <t>Inspecciones de seguridad</t>
  </si>
  <si>
    <t>Gestión del personal</t>
  </si>
  <si>
    <t>mp.per.1</t>
  </si>
  <si>
    <t>Caracterización del puesto de trabajo</t>
  </si>
  <si>
    <t>Con carácter previo a la puesta en explotación, se realizará un estudio que cubrirá los siguientes aspectos:
– [op.pl.4.1] Necesidades de procesamiento.
– [op.pl.4.2] Necesidades de almacenamiento de información: durante su procesamiento y durante el periodo que deba retenerse.
– [op.pl.4.3] Necesidades de comunicación.
– [op.pl.4.4] Necesidades de personal: cantidad y cualificación profesional.
– [op.pl.4.5] Necesidades de instalaciones y medios auxiliares.</t>
  </si>
  <si>
    <t>R6-Inspecciones de seguridad.
Periódicamente, o tras incidentes que hayan desvelado vulnerabilidades del sistema nuevas o subestimadas, se realizarán las siguientes inspecciones:
– [op.mon.3.r6.1] Verificación de configuración.
– [op.mon.3.r6.2] Análisis de vulnerabilidades.
– [op.mon.3.r6.3] Pruebas de penetración.</t>
  </si>
  <si>
    <t>op.pl.5</t>
  </si>
  <si>
    <t>Componentes certificados</t>
  </si>
  <si>
    <t>mp.if.4</t>
  </si>
  <si>
    <t>Energía eléctrica</t>
  </si>
  <si>
    <t>Suministro eléctrico de emergencia</t>
  </si>
  <si>
    <t>– [op.pl.5.1]. Se utilizará el Catálogo de Productos y Servicios de Seguridad de las Tecnologías de la Información y Comunicación (CPSTIC) del CCN, para seleccionar los productos o servicios suministrados por un tercero que formen parte de la arquitectura de seguridad del sistema y aquellos que se referencien expresamente en las medidas de este real decreto.
En caso de que no existan productos o servicios en el CPSTIC que implementen las funcionalidades requeridas, se utilizarán productos certificados de acuerdo a lo descrito en el artículo 19.
Una Instrucción Técnica de Seguridad detallará los criterios relativos a la adquisición de productos de seguridad.
– [op.pl.5.2] Si el sistema suministra un servicio de seguridad a un tercero bajo el alcance del ENS, el producto o productos que en los que se sustente dicho servicio debe superar un proceso de cualificación y ser incluido en el CPSTIC, o aportar una certificación que cumpla con los requisitos funcionales de seguridad y de aseguramiento de acuerdo a lo establecido en el artículo 19.</t>
  </si>
  <si>
    <t>R1-Suministro eléctrico de emergencia.
– [mp.if.4.r1.1] En caso de fallo del suministro principal, el abastecimiento eléctrico deberá estar garantizado durante el tiempo suficiente para una terminación ordenada de los procesos y la salvaguarda de la información.</t>
  </si>
  <si>
    <t>AT</t>
  </si>
  <si>
    <t>mp.per.2</t>
  </si>
  <si>
    <t>Deberes y obligaciones</t>
  </si>
  <si>
    <t>Confirmación expresa</t>
  </si>
  <si>
    <t>R1-Confirmación expresa.
– [mp.per.2.r1.1] Se ha de obtener la confirmación expresa de que los usuarios conocen las instrucciones de seguridad necesarias y obligatorias y su aceptación, así como los procedimientos necesarios para llevarlas a cabo de manera adecuada.</t>
  </si>
  <si>
    <t>Descripción de cada puesto con responsabilidades de seguridad, nivel de acceso a información y requisitos (habilitación, antecedentes cuando lo permite la ley, cláusulas); selección con verificación de referencias y titulación; puestos de confianza (administradores, SOC) con requisitos reforzados.</t>
  </si>
  <si>
    <t>mp.eq.1</t>
  </si>
  <si>
    <t>Perfiles de puesto en el sistema de RRHH vinculados a roles IGA.</t>
  </si>
  <si>
    <t>Puesto de trabajo despejado</t>
  </si>
  <si>
    <t>La identificación de los usuarios del sistema se realizará de acuerdo con lo que se indica a continuación:
– [op.acc.1.1] Se podrá utilizar como identificador único los sistemas de identificación previstos en la normativa de aplicación, entre ellos, los sistemas de clave concertada y cualquier otro sistema que las administraciones consideren válido en los términos y condiciones establecidos en la Ley 39/2015, de 1 de octubre, del Procedimiento Administrativo Común de las Administraciones Públicas.
– [op.acc.1.2] Cuando el usuario tenga diferentes roles frente al sistema (como ciudadano o usuario final, como trabajador del organismo o como administrador de los sistemas, por ejemplo) recibirá identificadores singulares para cada perfil, de forma que se recaben siempre los correspondientes registros de actividad, delimitándose los privilegios correspondientes a cada perfil.
– [op.acc.1.3] Cada entidad (entidad, usuario o proceso) que accede al sistema, contará con un identificador singular que permita conocer el destinatario de los mismos y los derechos de acceso que recibe, así como las acciones realizadas por cada entidad.
– [op.acc.1.4] Las cuentas de usuario se gestionarán de la siguiente forma:
a) Cada cuenta (de entidad, usuario o proceso) estará asociada a un identificador único.
b) Las cuentas deben ser inhabilitadas en los siguientes casos: cuando el usuario deja la organización; cuando el usuario cesa en la función para la cual se requería la cuenta de usuario; o, cuando la persona que la autorizó da orden en sentido contrario.
c) Las cuentas se retendrán durante el periodo necesario para atender a las necesidades de trazabilidad de los registros de actividad asociados a las mismas. A este periodo se le denominará «periodo de retención».
– [op.acc.1.5] En los supuestos de comunicaciones electrónicas, las partes intervinientes se identificarán atendiendo a los mecanismos previstos en la legislación europea y nacional en la materia, con la siguiente correspondencia entre los niveles de la dimensión de autenticidad de los sistemas de información a los que se tiene acceso y los niveles de seguridad (bajo, sustancial, alto) de los sistemas de identificación electrónica previstos en el Reglamento (UE) n.º 910/2014, del Parlamento Europeo y del Consejo, de 23 de julio de 2014, relativo a la identificación electrónica y los servicios de confianza para las transacciones electrónicas en el mercado interior y por el que se deroga la Directiva 1999/93/CE y sus normas de desarrollo o ejecución que resulten de aplicación:
a) Si se requiere un nivel BAJO en la dimensión de autenticidad (anexo I): Nivel de seguridad bajo, sustancial o alto (artículo 8 del Reglamento (UE) n.º 910/2014).
b) Si se requiere un nivel MEDIO en la dimensión de autenticidad (anexo I): Nivel de seguridad sustancial o alto (artículo 8 del Reglamento (UE) n.º 910/2014).
c) Si se requiere un nivel ALTO en la dimensión de autenticidad (anexo I): Nivel de seguridad alto (artículo 8 del Reglamento (UE) n.º 910/2014).</t>
  </si>
  <si>
    <t>Almacenamiento del material</t>
  </si>
  <si>
    <t>Catálogo de puestos CAT-PUE-01; PRO-RRHH-01 selección</t>
  </si>
  <si>
    <t>Dirección de Personas (RRHH)</t>
  </si>
  <si>
    <t>6.1 Selección (cribado); 6.2 Términos y condiciones de empleo; 5.2 Roles y responsabilidades</t>
  </si>
  <si>
    <t>Refuerzos exigibles (Sí)</t>
  </si>
  <si>
    <t>R1-Almacenamiento del material.
– [mp.eq.1.r1.1] Una vez usado, y siempre que sea factible, el material se almacenará en lugar cerrado.</t>
  </si>
  <si>
    <t>mp.eq.2</t>
  </si>
  <si>
    <t>Bloqueo de puesto de trabajo</t>
  </si>
  <si>
    <t>mp.per.3</t>
  </si>
  <si>
    <t>Cierre de sesiones</t>
  </si>
  <si>
    <t>Concienciación</t>
  </si>
  <si>
    <t>– [op.acc.2.1] Los recursos del sistema se protegerán con algún mecanismo que impida su utilización, salvo a las entidades que disfruten de derechos de acceso suficientes.
– [op.acc.2.2] Los derechos de acceso de cada recurso, se establecerán según las decisiones de la persona responsable del recurso, ateniéndose a la política y normativa de seguridad del sistema.
– [op.acc.2.3] Particularmente, se controlará el acceso a los componentes del sistema operativo y a sus ficheros o registros de configuración.</t>
  </si>
  <si>
    <t>R1-Cierre de sesiones.
– [mp.eq.2.r1.1] Pasado un cierto tiempo, superior al anterior, se cancelarán las sesiones abiertas desde dicho puesto de trabajo.
Una Guía CCN-STIC concretará la implementación de la configuración de seguridad adaptada a la categorización del sistema o perfil de cumplimiento asociado.</t>
  </si>
  <si>
    <t>Dimensión A = ALTO → R1 exigido → cumplido.</t>
  </si>
  <si>
    <t>mp.eq.3</t>
  </si>
  <si>
    <t>Protección de dispositivos portátiles</t>
  </si>
  <si>
    <t>Cifrado del disco</t>
  </si>
  <si>
    <t>El sistema de control de acceso se organizará de forma que se exija la concurrencia de dos o más personas para realizar tareas críticas, anulando la posibilidad de que un solo individuo autorizado pueda abusar de sus derechos para cometer alguna acción ilícita o no autorizada.
– [op.acc.3.1] Siempre que sea posible, las capacidades de desarrollo y operación no recaerán en la misma persona.
– [op.acc.3.2] Siempre que sea posible, las personas que autorizan y controlan el uso serán distintas.</t>
  </si>
  <si>
    <t>Refuerzos en grupo alternativo</t>
  </si>
  <si>
    <t>R1– Cifrado del disco.
– [mp.eq.3.r1.1] Se protegerá el dispositivo portátil mediante cifrado del disco duro cuando el nivel de confidencialidad de la información almacenada en el mismo sea de nivel MEDIO.</t>
  </si>
  <si>
    <t>Entornos protegidos</t>
  </si>
  <si>
    <t>Los derechos de acceso de cada entidad, usuario o proceso se limitarán atendiendo a los siguientes principios:
– [op.acc.4.1] Todo acceso estará prohibido, salvo autorización expresa.
– [op.acc.4.2] Mínimo privilegio: los privilegios de cada entidad, usuario o proceso se reducirán al mínimo imprescindible para cumplir sus obligaciones o funciones.
– [op.acc.4.3] Necesidad de conocer y responsabilidad de compartir: los privilegios se asignarán de forma que las entidades, usuarios o procesos sólo accederán al conocimiento de aquella información requerida para cumplir sus obligaciones o funciones. La información es patrimonio del organismo y toda aquella que resulte necesaria para el usuario estará a su disposición.
– [op.acc.4.4] Capacidad de autorizar: Exclusivamente el personal con competencia para ello podrá conceder, alterar o anular la autorización de acceso a los recursos, conforme a los criterios establecidos por su responsable. Los permisos de acceso se revisarán de forma periódica.
– [op.acc.4.5] Se establecerá una política específica de acceso remoto, requiriéndose autorización expresa.</t>
  </si>
  <si>
    <t>R2– Entornos protegidos.
– [mp.eq.3.r2.1] El uso de dispositivos portátiles fuera de las instalaciones de la organización se restringirá a entornos protegidos, donde el acceso sea controlado y a salvo de hurtos y miradas indiscretas.</t>
  </si>
  <si>
    <t>mp.eq.4</t>
  </si>
  <si>
    <t>+ [R1 o R2 o R3 o R4]</t>
  </si>
  <si>
    <t>Otros dispositivos conectados a la red</t>
  </si>
  <si>
    <t>Medidas compensatorias registradas</t>
  </si>
  <si>
    <t>+ [R2 o R3 o R4] + R5</t>
  </si>
  <si>
    <t>Programa de concienciación anual: normativa, gestión de incidentes (cómo reportar), phishing, uso de dispositivos; sesiones de acogida; campañas trimestrales; medición de eficacia.</t>
  </si>
  <si>
    <t>Productos certificados</t>
  </si>
  <si>
    <t>Plataforma de e-learning y simulaciones de phishing (tasa de clic 3,1 % en 2026-Q2); comunicaciones internas.</t>
  </si>
  <si>
    <t>R1-Productos certificados.
– [mp.eq.4.r1.1] Se usarán, cuando sea posible, productos o servicios que cumplan lo establecido en [op.pl.5].</t>
  </si>
  <si>
    <t>PLAN-CONC-2026; registros de asistencia; informes de simulación</t>
  </si>
  <si>
    <t>Dimensión C = ALTO → R1 exigido → cumplido.</t>
  </si>
  <si>
    <t>6.3 Concienciación, educación y formación en seguridad</t>
  </si>
  <si>
    <t>mp.com.2</t>
  </si>
  <si>
    <t>– [op.acc.5.1] Antes de proporcionar las credenciales de autenticación a las entidades, usuarios o procesos, estos deberán haberse identificado y registrado de manera fidedigna ante el sistema o ante un Prestador Cualificado de Servicios de Confianza o un proveedor de identidad electrónica reconocido por las administraciones públicas, de conformidad con lo dispuesto en la Ley 39/2015, de 1 de octubre.
– [op.acc.5.2] Antes de activar el mecanismo de autenticación, el usuario reconocerá que las ha recibido y que conoce y acepta las obligaciones que implica su tenencia, en particular, el deber de custodia diligente, la protección de su confidencialidad y el deber de notificación inmediata en caso de pérdida.
– [op.acc.5.3] Las credenciales estarán bajo el control exclusivo del usuario y se activarán una vez estén bajo su control efectivo.
– [op.acc.5.4] Las credenciales se cambiarán con una periodicidad marcada por la política de seguridad de la organización.
– [op.acc.5.5] Las credenciales serán inhabilitadas -pudiendo ser regeneradas, en su caso-, cuando conste o se sospeche su pérdida, compromiso o revelación a entidades (personas, equipos o procesos) no autorizadas.
– [op.acc.5.6] Las credenciales serán inhabilitadas cuando la entidad (persona, equipo o proceso) que autentican termina su relación con el sistema.
– [op.acc.5.7] Antes de autorizar el acceso, la información presentada por el sistema será la mínima imprescindible para que el usuario se autentique, evitando todo aquello que pueda, directa o indirectamente, revelar información sobre el sistema o la cuenta, sus características, su operación o su estado. Las credenciales solamente se validarán cuando se tengan todos los datos necesarios y, si se rechaza, no se informará del motivo del rechazo.
– [op.acc.5.8] El número de intentos permitidos será limitado, bloqueando la oportunidad de acceso una vez superado tal número, y requiriendo una intervención específica para reactivar la cuenta, que se describirá en la documentación.
– [op.acc.5.9] El sistema informará al usuario de sus derechos u obligaciones inmediatamente después de obtener el acceso.</t>
  </si>
  <si>
    <t>Protección de la confidencialidad</t>
  </si>
  <si>
    <t>mp.per.4</t>
  </si>
  <si>
    <t>Algoritmos y parámetros autorizados</t>
  </si>
  <si>
    <t>Formación</t>
  </si>
  <si>
    <t>R1-Contraseñas.
– [op.acc.5.r1.1] Se empleará una contraseña como mecanismo de autenticación.
– [op.acc.5.r1.2] Se impondrán normas de complejidad mínima y robustez frente a ataques de adivinación (ver guías CCN-STIC).
R2-Contraseña + OTP.
– [op.acc.5.r2.1] Se requerirá una contraseña de un solo uso (OTP, en inglés) como complemento a la contraseña de usuario.
R3-Certificados.
– [op.acc.5.r3.1] Se emplearán certificados cualificados como mecanismo de autenticación.
– [op.acc.5.r3.2] El uso del certificado estará protegido por un segundo factor, del tipo PIN o biométrico.
– [op.acc.5.r3.3] Las credenciales utilizadas deberán haber sido obtenidas tras un registro previo presencial, o bien telemático, usando un certificado electrónico cualificado.
R4-Certificados en dispositivo físico.
– [op.acc.5.r4.1] Se emplearán certificados cualificados como mecanismo de autenticación, en soporte físico (tarjeta o similar) usando algoritmos, parámetros y dispositivos autorizados por el CCN.
– [op.acc.5.r4.2] El uso del certificado estará protegido por un segundo factor, del tipo PIN o biométrico.
– [op.acc.5.r4.3] Las credenciales utilizadas deberán haber sido obtenidas tras un registro previo presencial, o bien telemático, usando certificado electrónico cualificado.
R5-Registro.
– [op.acc.5.r5.1] Se registrarán los accesos con éxito y los fallidos.
– [op.acc.5.r5.2] Se informará al usuario del último acceso efectuado con su identidad.</t>
  </si>
  <si>
    <t>Marco</t>
  </si>
  <si>
    <t>R1-Algoritmos y parámetros autorizados.
– [mp.com.2.r1.1] Se emplearán algoritmos y parámetros autorizados por el CCN.</t>
  </si>
  <si>
    <t>Nº medidas</t>
  </si>
  <si>
    <t>+ [R1 o R2 o R3 o R4] + R8 + R9</t>
  </si>
  <si>
    <t>Aplicables</t>
  </si>
  <si>
    <t>+ [R1 o R2 o R3 o R4] + R5 + R8 + R9</t>
  </si>
  <si>
    <t>+ [R1 o R2 o R3 o R4] + R5 + R6 + R7 + R8 + R9</t>
  </si>
  <si>
    <t>No aplicables</t>
  </si>
  <si>
    <t>Dispositivos hardware</t>
  </si>
  <si>
    <t>Grado medio implantación</t>
  </si>
  <si>
    <t>R2-Dispositivos hardware.
– [mp.com.2.r2.1] Se emplearán, dispositivos hardware en el establecimiento y utilización de la red privada virtual.</t>
  </si>
  <si>
    <t>Esta medida se refiere a personal del organismo, propio o contratado, estable o circunstancial, que pueda tener acceso a información contenida en el sistema.
Las guías CCN-STIC desarrollarán los mecanismos y calidades exigibles a cada tipo de factor de autenticación, en función de los niveles de seguridad requeridos por el sistema de información el que se accede y los privilegios concedidos al usuario.
– [op.acc.6.1] Antes de proporcionar las credenciales a los usuarios, estos deberán conocer y aceptar la política de seguridad del organismo en los aspectos que les afecten.
– [op.acc.6.2] Antes de activar el mecanismo de autenticación, el usuario reconocerá que ha recibido las credenciales de acceso y que conoce y acepta las obligaciones que implica su tenencia, en particular, el deber de custodia diligente, la protección de su confidencialidad y el deber de notificación inmediata en caso de pérdida.
– [op.acc.6.3] Las credenciales estarán bajo el control exclusivo del usuario y se activarán una vez estén bajo su control efectivo.
– [op.acc.6.4] Las credenciales se cambiarán con una periodicidad marcada por la política de seguridad de la organización.
– [op.acc.6.5] Las credenciales serán inhabilitadas -pudiendo ser regeneradas, en su caso-, cuando conste o se sospeche su pérdida, compromiso o revelación a entidades (personas, equipos o procesos) no autorizadas.
– [op.acc.6.6] Las credenciales serán inhabilitadas cuando el usuario que autentican termina su relación con el sistema.
– [op.acc.6.7] Antes de autorizar el acceso, la información presentada por el sistema será la mínima imprescindible para que el usuario se autentique, evitando todo aquello que pueda, directa o indirectamente, revelar información sobre el sistema o la cuenta, sus características, su operación o su estado. Las credenciales solamente se validarán cuando se tengan todos los datos necesarios y, si se rechaza, no se informará del motivo del rechazo.
– [op.acc.6.8] El número de intentos permitidos será limitado, bloqueando la oportunidad de acceso una vez superado tal número, y requiriendo una intervención específica para reactivar la cuenta, que se describirá en la documentación.
– [op.acc.6.9] El sistema informará al usuario de sus derechos u obligaciones inmediatamente después de obtener el acceso.</t>
  </si>
  <si>
    <t>R3-Productos certificados.
– [mp.com.2.r3.1] Se usarán productos o servicios que cumplan lo establecido en [op.pl.5].</t>
  </si>
  <si>
    <t>mp.com.3</t>
  </si>
  <si>
    <t>APLICA: medida exigida para la categoría ALTA del sistema (afecta a todas las dimensiones). Exigencia: 'aplica'. Riesgos tratados según AR-2026-01. CCN-STIC 808: 6 requisitos de verificación (2 esenciales).</t>
  </si>
  <si>
    <t>Protección de la integridad y de la autenticidad</t>
  </si>
  <si>
    <t>Redes privadas virtuales</t>
  </si>
  <si>
    <t>Plan de formación específico por rol (administradores, desarrolladores, SOC, gestores): configuración segura, detección y reacción a incidentes, gestión de la información y soportes, desarrollo seguro; formación ENS (CCN) para el equipo de seguridad.</t>
  </si>
  <si>
    <t>R1-Contraseñas.
– [op.acc.6.r1.1] Se empleará una contraseña como mecanismo de autenticación cuando el acceso se realiza desde zonas controladas y sin atravesar zonas no controladas (véase refuerzo R8).
– [op.acc.6.r1.2] Se impondrán normas de complejidad mínima y robustez frente a ataques de adivinación (ver guías CCN-STIC).
R2-Contraseña + otro factor de autenticación.
– [op.acc.6.r2.1] Se requerirá un segundo factor tal como «algo que se tiene», es decir, un dispositivo, una contraseña de un solo uso (OTP, en inglés) como complemento a la contraseña de usuario, o «algo que se es».
R3-Certificados.
– [op.acc.6.r3.1] Se emplearán certificados cualificados como mecanismo de autenticación.
– [op.acc.6.r3.2] El uso del certificado estará protegido por un segundo factor, del tipo PIN o biométrico.
R4-Certificados en dispositivo físico.
– [op.acc.6.r4.1] Se emplearán certificados cualificados como mecanismo de autenticación, en soporte físico (tarjeta o similar) usando algoritmos, parámetros y dispositivos autorizados por el CCN.
– [op.acc.6.r4.2] El uso del certificado estará protegido por un segundo factor, del tipo PIN o biométrico.
R5-Registro.
– [op.acc.6.r5.1] Se registrarán los accesos con éxito y los fallidos.
– [op.acc.6.r5.2] Se informará al usuario del último acceso efectuado con su identidad.
R6-Limitación de la ventana de acceso.
– [op.acc.6.r6.1] Se definirán aquellos puntos en los que el sistema requerirá una renovación de la autenticación del usuario, mediante identificación singular, no bastando con la sesión establecida.
R7-Suspensión por no utilización.
– [op.acc.6.r7.1] Las credenciales se suspenderán tras un periodo definido de no utilización.
R8-Doble factor para acceso desde o a través de zonas no controladas.
Se denomina «zona controlada» aquella que no es de acceso público, requiriéndose que el usuario, antes de tener acceso al equipo, se haya autenticado previamente de alguna forma (control de acceso a las instalaciones), diferente del mecanismo de autenticación lógica frente al sistema. Un ejemplo de zona no controlada es Internet.
– [op.acc.6.r8.1] Para el acceso desde o a través de zonas no controladas se requerirá un doble factor de autenticación: R2, R3 o R4.
R9-Acceso remoto (todos los niveles).
– [op.acc.6.r9.1] Será de aplicación la ITS de Interconexión de sistemas de información.
– [op.acc.6.r9.2] El acceso remoto deberá considerar los siguientes aspectos:
a) Ser autorizado por la autoridad correspondiente.
b) El tráfico deberá ser cifrado.
c) Si la utilización no se produce de manera constante, el acceso remoto deberá encontrarse inhabilitado y habilitarse únicamente cuando sea necesario.
d) Deberán recogerse registros de auditoría de este tipo de conexiones.</t>
  </si>
  <si>
    <t>Registro de competencias en RRHH; certificaciones (CCN-CERT Ángeles, ISO 27001 LA, SANS).</t>
  </si>
  <si>
    <t>R1-Redes privadas virtuales.
– [mp.com.3.r1.1] Se emplearán redes privadas virtuales cifradas cuando la comunicación discurra por redes fuera del propio dominio de seguridad.</t>
  </si>
  <si>
    <t>R3 dispositivos hardware en el extremo cloud → medida compensatoria MC-03.</t>
  </si>
  <si>
    <t>PLAN-FORM-2026; registros de formación; matriz de competencias</t>
  </si>
  <si>
    <t>[op.exp.1.1] Se mantendrá un inventario actualizado de todos los elementos del sistema, detallando su naturaleza e identificando a su responsable; es decir, la persona que toma las decisiones relativas al mismo.</t>
  </si>
  <si>
    <t>6.3 Concienciación, educación y formación; Cl. 7.2 Competencia</t>
  </si>
  <si>
    <t>Protección de las comunicaciones</t>
  </si>
  <si>
    <t>R2-Algoritmos y parámetros autorizados.
– [mp.com.3.r2.1] Se emplearán algoritmos y parámetros autorizados por el CCN.</t>
  </si>
  <si>
    <t>mp.com.1</t>
  </si>
  <si>
    <t>Perímetro seguro</t>
  </si>
  <si>
    <t>Se configurarán los equipos previamente a su entrada en operación, de forma que:
– [op.exp.2.1] Se retiren cuentas y contraseñas estándar.
– [op.exp.2.2] Se aplicará la regla de «mínima funcionalidad», es decir:
a) El sistema debe proporcionar la funcionalidad mínima imprescindible para que la organización alcance sus objetivos.
b) No proporcionará funciones injustificadas (de operación, administración o auditoría) al objeto de reducir al mínimo su perímetro de exposición, eliminándose o desactivándose aquellas funciones que sean innecesarias o inadecuadas al fin que se persigue.
– [op.exp.2.3] Se aplicará la regla de «seguridad por defecto», es decir:
a) Las medidas de seguridad serán respetuosas con el usuario y protegerán a éste, salvo que se exponga conscientemente a un riesgo.
b) Para reducir la seguridad, el usuario tendrá que realizar acciones conscientes.
c) El uso natural, en los casos que el usuario no ha consultado el manual, será un uso seguro.
– [op.exp.2.4] Las máquinas virtuales estarán configuradas y gestionadas de un modo seguro. La gestión del parcheado, cuentas de usuarios, software antivirus, etc. se realizará como si se tratara de máquinas físicas, incluyendo la máquina anfitriona.</t>
  </si>
  <si>
    <t>R3-Dispositivos hardware.
– [mp.com.3.r3.1] Se recomienda emplear dispositivos hardware en el establecimiento y utilización de la red privada virtual.</t>
  </si>
  <si>
    <t>Se gestionará de forma continua la configuración de los componentes del sistema, de forma que:
– [op.exp.3.1] Se mantenga en todo momento la regla de "funcionalidad mínima" ([op.exp.2]).
– [op.exp.3.2] Se mantenga en todo momento la regla de "mínimo privilegio" ([op.exp.2]).
– [op.exp.3.3] El sistema se adapte a las nuevas necesidades, previamente autorizadas. (Ver [op.acc.4]).
– [op.exp.3.4] El sistema reaccione a vulnerabilidades notificadas. (Ver [op.exp.4]).
– [op.exp.3.5] El sistema reaccione a incidentes. (Ver [op.exp.7]).
– [op.exp.3.6] La configuración de seguridad solamente podrá editarse por personal debidamente autorizado.</t>
  </si>
  <si>
    <t>R4-Productos certificados.
– [mp.com.3.r4.1] Se emplearán productos certificados conforme a lo establecido en [op.pl.5].</t>
  </si>
  <si>
    <t>R1-Mantenimiento regular de la configuración.
– [op.exp.3.r1.1] Existirán configuraciones hardware/software, autorizadas y mantenidas regularmente, para los servidores, elementos de red y estaciones de trabajo.
– [op.exp.3.r1.2] Se verificará periódicamente la configuración hardware/software del sistema para asegurar que no se han introducido ni instalado elementos no autorizados.
– [op.exp.3.r1.3] Se mantendrá una lista de servicios autorizados para servidores y estaciones de trabajo.
R2-Responsabilidad de la configuración.
– [op.exp.3.r2.1] La configuración de seguridad del sistema operativo y aplicaciones, tanto de estaciones y servidores como de la electrónica de red del sistema, será responsabilidad de un número muy limitado de administradores del sistema.
R3-Copias de seguridad.
– [op.exp.3.r3.1] Se realizarán copias de seguridad de la configuración del sistema de forma que sea posible reconstruirlo en parte o en su totalidad tras un incidente.</t>
  </si>
  <si>
    <t>mp.com.4</t>
  </si>
  <si>
    <t>Separación de flujos de información en la red</t>
  </si>
  <si>
    <t>Segmentación lógica avanzada</t>
  </si>
  <si>
    <t>+ R1 + R2</t>
  </si>
  <si>
    <t>Para mantener el equipamiento físico y lógico que constituye el sistema, se aplicará lo siguiente:
– [op.exp.4.1] Se atenderá a las especificaciones de los fabricantes en lo relativo a instalación y mantenimiento de los sistemas, lo que incluirá un seguimiento continuo de los anuncios de defectos.
– [op.exp.4.2] Se dispondrá de un procedimiento para analizar, priorizar y determinar cuándo aplicar las actualizaciones de seguridad, parches, mejoras y nuevas versiones. La priorización tendrá en cuenta la variación del riesgo en función de la implantación o no de la actualización.
– [op.exp.4.3] El mantenimiento solo podrá realizarse por personal debidamente autorizado.</t>
  </si>
  <si>
    <t>R2-Segmentación lógica avanzada.
– [mp.com.4.r2.1] Los segmentos de red se implementarán por medio de redes privadas virtuales (Virtual Private Network, VPN).</t>
  </si>
  <si>
    <t>Alternativa elegida: R2 (segmentación lógica avanzada) + R4; R3 físico adicional para gestión. Cumple '[R2 o R3] + R4'.</t>
  </si>
  <si>
    <t>R1-Pruebas en preproducción.
[op.exp.4.r1.1] Antes de poner en producción una nueva versión o una versión parcheada, se comprobará en un entorno de prueba controlado y consistente en configuración al entorno de producción, que la nueva instalación funciona correctamente y no disminuye la eficacia de las funciones necesarias para el trabajo diario.
R2-Prevención de fallos.
[op.exp.4.r2.1] Antes de la aplicación de las configuraciones, parches y actualizaciones de seguridad se preverá un mecanismo para revertirlos en caso de aparición de efectos adversos.</t>
  </si>
  <si>
    <t>Perímetro seguro: toda conexión al exterior pasa por cortafuegos; flujos autorizados y documentados; revisión trimestral de reglas; dos líneas de defensa de fabricantes distintos.</t>
  </si>
  <si>
    <t>Segmentación física</t>
  </si>
  <si>
    <t>Cortafuegos NG en alta disponibilidad (CPSTIC), IPS, DMZ multicapa, proxy saliente, DNS seguro; gestión de reglas con herramienta de análisis.</t>
  </si>
  <si>
    <t>R3-Segmentación física.
– [mp.com.4.r3.1] Los segmentos de red se implementarán con medios físicos separados.</t>
  </si>
  <si>
    <t>ARQ-02; REG-FW-REV (revisiones trimestrales)</t>
  </si>
  <si>
    <t>8.20 Seguridad de redes; 8.21 Seguridad de servicios de red; 8.22 Segregación de redes</t>
  </si>
  <si>
    <t>Se mantendrá un control continuo de los cambios realizados en el sistema, de forma que:
– [op.exp.5.1] Los cambios se planificarán para reducir el impacto sobre la prestación de los servicios afectados. Para ello, todas las peticiones de cambio se registrarán asignando un número de referencia que permita su seguimiento, de forma equivalente al registro de los incidentes.
– [op.exp.5.2] La información a registrar para cada petición de cambio será suficiente para que quien deba autorizarlos no tenga dudas al respecto y permita gestionarlo hasta su desestimación o implementación.
– [op.exp.5.3] Las pruebas de preproducción, siempre que sea posible realizarlas, se efectuarán en equipos equivalentes a los de producción, al menos en los aspectos específicos del cambio.
– [op.exp.5.4] Mediante un análisis de riesgos se determinará si los cambios son relevantes para la seguridad del sistema. Aquellos cambios que impliquen un riesgo de nivel ALTO deberán ser aprobados, explícitamente, de forma previa a su implantación, por el Responsable de la Seguridad.
– [op.exp.5.5] Una vez implementado el cambio, se realizarán las pruebas de aceptación convenientes. Si son positivas, se actualizará la documentación de configuración (diagramas de red, manuales, el inventario, etc.), siempre que proceda.</t>
  </si>
  <si>
    <t>CCN-STIC 807, 811, 804/808</t>
  </si>
  <si>
    <t>Puntos de interconexión</t>
  </si>
  <si>
    <t>Protección de los soportes de información</t>
  </si>
  <si>
    <t>mp.si.3</t>
  </si>
  <si>
    <t>Custodia</t>
  </si>
  <si>
    <t>R4-Puntos de interconexión.
– [mp.com.4.r4.1] Control de entrada de los usuarios que llegan a cada segmento y control de entrada y salida de la información disponible en cada segmento.
– [mp.com.4.r4.2] El punto de interconexión estará particularmente asegurado, mantenido y monitorizado, (como en [mp.com.1]).</t>
  </si>
  <si>
    <t>+ R1 + R2 + R3 + R4</t>
  </si>
  <si>
    <t>Segmentación lógica básica</t>
  </si>
  <si>
    <t>– [op.exp.6.1] Se dispondrá de mecanismos de prevención y reacción frente a código dañino, incluyendo el correspondiente mantenimiento de acuerdo a las recomendaciones del fabricante.
– [op.exp.6.2] Se instalará software de protección frente a código dañino en todos los equipos: puestos de usuario, servidores y elementos perimetrales.
– [op.exp.6.3] Todo fichero procedente de fuentes externas será analizado antes de trabajar con él.
– [op.exp.6.4] Las bases de datos de detección de código dañino permanecerán permanentemente actualizadas.v
– [op.exp.6.5] El software de detección de código dañino instalado en los puestos de usuario deberá estar configurado de forma adecuada e implementará protección en tiempo real de acuerdo a las recomendaciones del fabricante.</t>
  </si>
  <si>
    <t>R1-Escaneo periódico.
– [op.exp.6.r1.1] Todo el sistema se escaneará regularmente para detectar código dañino.
R2-Revisión preventiva del sistema.
– [op.exp.6.r2.1] Las funciones críticas se analizarán al arrancar el sistema en prevención de modificaciones no autorizadas.
R3 - Lista blanca.
– [op.exp.6.r3.1] Solamente se podrán ejecutar aquellas aplicaciones previamente autorizadas. Se implementará una lista blanca para impedir la ejecución de aplicaciones no autorizadas.
R4-Capacidad de respuesta en caso de incidente.
– [op.exp.6.r4.1] Se emplearán herramientas de seguridad orientadas a detectar, investigar y resolver actividades sospechosas en puestos de usuario y servidores (EDR - Endpoint Detection and Response).</t>
  </si>
  <si>
    <t>R1-Segmentación lógica básica.
– [mp.com.4.r1.1] Los segmentos de red se implementarán por medio de redes de área local virtuales (Virtual Local Area Network, VLAN).
– [mp.com.4.r1.2] La red que conforma el sistema deberá segregarse en distintas subredes contemplando como mínimo:
• Usuarios.
• Servicios.
• Administración.</t>
  </si>
  <si>
    <t>mp.si.2</t>
  </si>
  <si>
    <t>Criptografía</t>
  </si>
  <si>
    <t>– [op.exp.7.1] Se dispondrá de un proceso integral para hacer frente a los incidentes que puedan tener un impacto en la seguridad del sistema, que incluya el informe de eventos de seguridad y debilidades, detallando los criterios de clasificación y el escalado de la notificación.
– [op.exp.7.2] La gestión de incidentes que afecten a datos personales tendrá en cuenta lo dispuesto en el Reglamento General de Protección de Datos; la Ley Orgánica 3/2018, de 5 de diciembre, en especial su disposición adicional primera, así como el resto de normativa de aplicación, sin perjuicio de los requisitos establecidos en este real decreto.</t>
  </si>
  <si>
    <t>R1– Productos certificados.
– [mp.si.2.r1.1] Se emplearán productos certificados conforme a lo establecido en [op.pl.5].</t>
  </si>
  <si>
    <t>R1 productos certificados para cintas → medida compensatoria MC-04; R2 cumplido.</t>
  </si>
  <si>
    <t>R1-Notificación.
– [op.exp.7.r1.1] Se dispondrá de soluciones de ventanilla única para la notificación de incidentes al CCN-CERT, que permita la distribución de notificaciones a las diferentes entidades de manera federada, utilizando para ello dependencias administrativas jerárquicas.
R2 –Detección y Respuesta.
El proceso integral para hacer frente a los incidentes que puedan tener un impacto en la seguridad del sistema ([op.exp.7.1]) deberá incluir:
– [op.exp.7.r2.1] Implantación de medidas urgentes, incluyendo la detención de servicios, el aislamiento del sistema afectado, la recogida de evidencias y protección de los registros, según convenga al caso.
– [op.exp.7.r2.2] Asignación de recursos para investigar las causas, analizar las consecuencias y resolver el incidente.
– [op.exp.7.r2.3] Informar del incidente a los responsables de la información y servicios afectados y de las actuaciones llevadas a cabo para su resolución.
– [op.exp.7.r2.4] Medidas para:
a) Prevenir que se repita el incidente.
b) Incluir en los procedimientos de usuario la identificación y forma de tratar el incidente.
c) Actualizar, extender, mejorar u optimizar los procedimientos de resolución de incidentes.
R3-Reconfiguración dinámica.
La reconfiguración dinámica del sistema persigue detener, desviar o limitar ataques, acotando los daños.
– [op.exp.7.r3.1] La reconfiguración dinámica incluye, por ejemplo, cambios en las reglas de los enrutadores (routers), listas de control de acceso, parámetros del sistema de detección / prevención de intrusiones y reglas en los cortafuegos y puertas de enlace, aislamiento de elementos críticos y aislamiento de las copias de seguridad.
– [op.exp.7.r3.2] El organismo adaptará los procedimientos de reconfiguración dinámica reaccionando a los anuncios recibidos del CCN-CERT relativos a ciberamenazas sofisticadas y campañas de ataques.</t>
  </si>
  <si>
    <t>Custodia de soportes: control de acceso a armarios ignífugos y sala de soportes, responsable de custodia, registro de entrega/devolución, respeto de condiciones del fabricante.</t>
  </si>
  <si>
    <t>+ R1 + R2 + R3 + R4 + R5</t>
  </si>
  <si>
    <t>Armarios ignífugos con cerradura electrónica y registro; sala de soportes bajo control de acceso biométrico; custodia externa con empresa certificada.</t>
  </si>
  <si>
    <t>Se registrarán las actividades en el sistema, de forma que:
– [op.exp.8.1] Se generará un registro de auditoría, que incluirá, al menos, el identificador del usuario o entidad asociado al evento, fecha y hora, sobre qué información se realiza el evento, tipo de evento y el resultado del evento (fallo o éxito), según la política de seguridad y los procedimientos asociados a la misma.
– [op.exp.8.2] Se activarán los registros de actividad en los servidores.</t>
  </si>
  <si>
    <t>PRO-SOP-01; REG-CUST-SOP</t>
  </si>
  <si>
    <t>R2-Copias de seguridad.
– [mp.si.2.r2.1] Las copias se seguridad se cifrarán utilizando algoritmos y parámetros autorizados por el CCN.</t>
  </si>
  <si>
    <t>7.10 Soportes de almacenamiento; 5.9 Inventario; 5.10 Uso aceptable</t>
  </si>
  <si>
    <t>CCN-STIC 807, 804/808</t>
  </si>
  <si>
    <t>mp.si.5</t>
  </si>
  <si>
    <t>Borrado y destrucción</t>
  </si>
  <si>
    <t>R1-Revisión de los registros.
– [op.exp.8.r1.1] Se revisarán informalmente, de forma periódica, los registros de actividad, buscando patrones anormales.
R2-Sincronización del reloj del sistema.
– [op.exp.8.r2.1] El sistema deberá disponer de una referencia de tiempo (timestamp) para facilitar las funciones de registro de eventos y auditoría. La modificación de la referencia de tiempo del sistema será una función de administración y, en caso de realizarse su sincronización con otros dispositivos, deberán utilizarse mecanismos de autenticación e integridad.
R3-Retención de registros.
– [op.exp.8.r3.1] En la documentación de seguridad del sistema se deberán indicar los eventos de seguridad que serán auditados y el tiempo de retención de los registros antes de ser eliminados.
R4-Control de acceso.
– [op.exp.8.r4.1] Los registros de actividad y, en su caso, las copias de seguridad de los mismos, solamente podrán ser accedidos o eliminarse por personal debidamente autorizado.
R5-Revisión automática y correlación de eventos.
– [op.exp.8.r5.1] El sistema deberá implementar herramientas para analizar y revisar la actividad del sistema y la información de auditoría, en búsqueda de comprometimientos de la seguridad posibles o reales.
– [op.exp.8.r5.2] Se dispondrá de un sistema automático de recolección de registros, correlación de eventos y respuesta automática ante los mismos.</t>
  </si>
  <si>
    <t>mp.si.4</t>
  </si>
  <si>
    <t>Transporte</t>
  </si>
  <si>
    <t>R1-Productos certificados.
– [mp.si.5.r1.1] Se usarán productos o servicios que cumplan lo establecido en [op.pl.5].</t>
  </si>
  <si>
    <t>mp.sw.1</t>
  </si>
  <si>
    <t>Desarrollo de aplicaciones</t>
  </si>
  <si>
    <t>Se registrarán todas las actuaciones relacionadas con la gestión de incidentes, de forma que:
– [op.exp.9.1] Se registrarán los reportes iniciales, intermedios y finales de los incidentes, las actuaciones de emergencia y las modificaciones del sistema derivadas del incidente.
– [op.exp.9.2] Se registrará aquella evidencia que pueda dirimirse en un ámbito jurisdiccional, especialmente cuando el incidente pueda comportar acciones disciplinarias sobre el personal interno, sobre proveedores externos o en la persecución de delitos. En la determinación de la composición y detalle de estas evidencias, se recurrirá a asesoramiento legal especializado.
– [op.exp.9.3] Como consecuencia del análisis de los incidentes, se revisará la determinación de los eventos auditables.</t>
  </si>
  <si>
    <t>Mínimo privilegio</t>
  </si>
  <si>
    <t>R1-Mínimo privilegio.
– [mp.sw.1.r1.1] Las aplicaciones se desarrollarán respetando el principio de mínimo privilegio, accediendo únicamente a los recursos imprescindibles para su función, y con los privilegios que sean indispensables.</t>
  </si>
  <si>
    <t>R1+R2+R3+R4 exigidos. R3: modelado de amenazas completado en S-01 y S-04; pendiente S-02/S-03 (PTR-2026-09, 30/11/2026).</t>
  </si>
  <si>
    <t>– [op.exp.10.1] Las claves criptográficas se protegerán durante todo su ciclo de vida: (1) generación, (2) transporte al punto de explotación, (3) custodia durante la explotación, (4) archivo posterior a su retirada de explotación activa y (5) destrucción final.
– [op.exp.10.2] Los medios de generación estarán aislados de los medios de explotación.
– [op.exp.10.3] Las claves retiradas de operación que deban ser archivadas, lo serán en medios aislados de los de explotación.</t>
  </si>
  <si>
    <t>Metodología de desarrollo seguro</t>
  </si>
  <si>
    <t>– [op.ext.1.1] Con anterioridad a la efectiva utilización de los recursos externos se establecerá contractualmente un Acuerdo de Nivel de Servicio, que incluirá las características del servicio prestado, lo que debe entenderse como «servicio mínimo admisible», así como, la responsabilidad del prestador y las consecuencias de eventuales incumplimientos.</t>
  </si>
  <si>
    <t>APLICA: medida exigida para la categoría ALTA del sistema (afecta a todas las dimensiones). Exigencia: 'aplica'. Riesgos tratados según AR-2026-01. CCN-STIC 808: 6 requisitos de verificación (1 esenciales).</t>
  </si>
  <si>
    <t>R2-Metodología de desarrollo seguro.
– [mp.sw.1.r2.1] Se aplicará una metodología de desarrollo seguro reconocida que:
a) Tendrá en consideración los aspectos de seguridad a lo largo de todo el ciclo de vida.
b) Incluirá normas de programación segura, especialmente: control de asignación y liberación de memoria, desbordamiento de memoria (overflow).
c) Tratará específicamente los datos usados en pruebas.
d) Permitirá la inspección del código fuente.</t>
  </si>
  <si>
    <t>Transporte de soportes (PRO-SOP-02): registro de salida/entrada, responsable designado, cifrado, precinto, empresa de transporte con contrato de seguridad, verificación de recepción.</t>
  </si>
  <si>
    <t>Maletines con cierre y precinto numerado; geolocalización del transporte; cinta cifrada.</t>
  </si>
  <si>
    <t>REG-TRANS-SOP; contrato de custodia externa</t>
  </si>
  <si>
    <t>Seguridad desde el diseño</t>
  </si>
  <si>
    <t>7.10 Soportes de almacenamiento; 7.9 Activos fuera de las instalaciones; 5.14 Transferencia</t>
  </si>
  <si>
    <t>Se establecerá lo siguiente:
– [op.ext.2.1] Un sistema rutinario para medir el cumplimiento de las obligaciones de servicio, incluyendo el procedimiento para neutralizar cualquier desviación fuera del margen de tolerancia acordado ([op.ext.1]).
– [op.ext.2.2] El mecanismo y los procedimientos de coordinación para llevar a cabo las tareas de mantenimiento de los sistemas comprendidos en el acuerdo, que contemplarán los supuestos de incidentes y desastres (ver [op.exp.7]).</t>
  </si>
  <si>
    <t>Protección de la información</t>
  </si>
  <si>
    <t>R3-Seguridad desde el diseño.
– [mp.sw.1.r3.1] Los siguientes elementos serán parte integral del diseño del sistema:
a) Los mecanismos de identificación y autenticación.
b) Los mecanismos de protección de la información tratada.
c) La generación y tratamiento de pistas de auditoría.</t>
  </si>
  <si>
    <t>op.ext.3</t>
  </si>
  <si>
    <t>mp.info.1</t>
  </si>
  <si>
    <t>Protección de la cadena de suministro</t>
  </si>
  <si>
    <t>Datos personales</t>
  </si>
  <si>
    <t>Datos de pruebas</t>
  </si>
  <si>
    <t>– [op.ext.3.1] Se analizará el impacto que puede tener sobre el sistema un incidente accidental o deliberado que tenga su origen en la cadena de suministro.
– [op.ext.3.2] Se estimará el riesgo sobre el sistema por causa del impacto estimado en el punto anterior.
– [op.ext.3.3] Se tomarán medidas de contención de los impactos estimados en los puntos anteriores.</t>
  </si>
  <si>
    <t>R4-Datos de pruebas.
– [mp.sw.1.r4.1] Preferiblemente, las pruebas previas a la implantación o modificación de los sistemas de información no se realizarán con datos reales. En caso de que fuese necesario recurrir a datos reales se garantizará el nivel de seguridad correspondiente.</t>
  </si>
  <si>
    <t>mp.sw.2</t>
  </si>
  <si>
    <t>Aceptación y puesta en servicio</t>
  </si>
  <si>
    <t>Pruebas</t>
  </si>
  <si>
    <t>R1- Pruebas.
– [mp.sw.2.r1.1] Las pruebas se realizarán en un entorno aislado (pre-producción).</t>
  </si>
  <si>
    <t>mp.info.3</t>
  </si>
  <si>
    <t>Firma electrónica</t>
  </si>
  <si>
    <t>Se denomina interconexión al establecimiento de enlaces con otros sistemas de información para el intercambio de información y servicios.
– [op.ext.4.1] Todos los intercambios de información y prestación de servicios con otros sistemas deberán ser objeto de una autorización previa. Todo flujo de información estará prohibido salvo autorización expresa.
– [op.ext.4.2] Para cada interconexión se documentará explícitamente: las características de la interfaz, los requisitos de seguridad y protección de datos y la naturaleza de la información intercambiada.</t>
  </si>
  <si>
    <t>Certificados cualificados</t>
  </si>
  <si>
    <t>R1-Certificados cualificados.
– [mp.info.3.r1.1] Cuando se empleen sistemas de firma electrónica avanzada basados en certificados, estos serán cualificados.</t>
  </si>
  <si>
    <t>Dimensiones I/A = ALTO → R1+R2+R3+R4 exigidos → cumplidos.</t>
  </si>
  <si>
    <t>APLICA: medida exigida para la categoría ALTA del sistema (afecta a todas las dimensiones). Exigencia: 'aplica'. Riesgos tratados según AR-2026-01. CCN-STIC 808: 8 requisitos de verificación (3 esenciales).</t>
  </si>
  <si>
    <t>Cumplimiento RGPD/LOPDGDD: registro de actividades de tratamiento, contratos de encargado con las consejerías, DPIA para S-02 y S-03, DPD nombrado, procedimiento de brechas (72 h a la AEPD vía el responsable), minimización y limitación de acceso; coordinación DPD–Resp. Seguridad.</t>
  </si>
  <si>
    <t>– [op.nub.1.1] Los sistemas que suministran un servicio en la nube a organismos del sector público deberán cumplir con el conjunto de medidas de seguridad en función del modelo de servicio en la nube que presten: Software como Servicio (Software as a Service, SaaS), Plataforma como Servicio (Platform as a Service, PaaS) e Infraestructura como Servicio (Infrastructure as a Service, IaaS) definidas en las guías CCN-STIC que sean de aplicación.
– [op.nub.1.2] Cuando se utilicen servicios en la nube suministrados por terceros, los sistemas de información que los soportan deberán ser conformes con el ENS o cumplir con las medidas desarrolladas en una guía CCN-STIC que incluirá, entre otros, requisitos relativos a:
a) Auditoría de pruebas de penetración (pentesting).
b) Transparencia.
c) Cifrado y gestión de claves.
d) Jurisdicción de los datos.</t>
  </si>
  <si>
    <t>Cifrado y seudonimización de datos de categoría especial en BD; enmascaramiento en entornos no productivos; registro de accesos a datos personales (auditoría en BD).</t>
  </si>
  <si>
    <t>R1- Servicios certificados.
– [op.nub.1.r1.1] Cuando se utilicen servicios en la nube suministrados por terceros, estos deberán estar certificados bajo una metodología de certificación reconocida por el Organismo de Certificación del Esquema Nacional de Evaluación y Certificación de Seguridad de las Tecnologías de la Información.
– [op.nub.1.r1.2] Si el servicio en la nube es un servicio de seguridad deberá cumplir con los requisitos establecidos en [op.pl.5].
R2-Guías de Configuración de Seguridad Específicas.
– [op.nub.1.r2.1] La configuración de seguridad de los sistemas que proporcionan estos servicios deberá realizarse según la correspondiente guía CCN-STIC de Configuración de Seguridad Específica, orientadas tanto al usuario como al proveedor.</t>
  </si>
  <si>
    <t>RAT-2026; DPIA-S02, DPIA-S03; contratos de encargado; PRO-BRECHA-01</t>
  </si>
  <si>
    <t>op.cont.1</t>
  </si>
  <si>
    <t>DPD / Resp. Seguridad</t>
  </si>
  <si>
    <t>Análisis de impacto</t>
  </si>
  <si>
    <t>R2-Algoritmos y parámetros autorizados.
– [mp.info.3.r2.1] Se emplearán algoritmos y parámetros autorizados por el CCN o por un esquema nacional o europeo que resulte de aplicación.
El CCN determinará los algoritmos criptográficos que hayan sido autorizados nominalmente para su uso en el Esquema Nacional de Seguridad conforme a la Instrucción Técnica de Seguridad Criptología de empleo en el ENS.</t>
  </si>
  <si>
    <t>5.34 Privacidad y protección de la PII; 5.31 Requisitos legales; 8.11 Enmascaramiento</t>
  </si>
  <si>
    <t>Protección de los servicios</t>
  </si>
  <si>
    <t>mp.s.1</t>
  </si>
  <si>
    <t>Protección del correo electrónico</t>
  </si>
  <si>
    <t>– [op.cont.1.1] Se realizará un análisis de impacto que permita determinar los requisitos de disponibilidad de cada servicio (impacto de una interrupción durante un periodo de tiempo determinado), así como los elementos que son críticos para la prestación de cada servicio.</t>
  </si>
  <si>
    <t>Verificación y validación de firma</t>
  </si>
  <si>
    <t>R3-Verificación y validación de firma.
– [mp.info.3.r3.1] Cuando proceda, se garantizará la verificación y validación de la firma electrónica durante el tiempo requerido por la actividad administrativa que aquélla soporte, sin perjuicio de que se pueda ampliar este período de acuerdo con lo que establezca la Política de Firma Electrónica y de Certificados que sea de aplicación. Para tal fin se adjuntará a la firma, o se referenciará, toda la información pertinente para su verificación y validación, incluyendo certificados o datos de verificación y validación.</t>
  </si>
  <si>
    <t>Se desarrollará un plan de continuidad que establezca las acciones a ejecutar en caso de interrupción de los servicios prestados con los medios habituales. Dicho plan contemplará los siguientes aspectos:
– [op.cont.2.1] Se identificarán funciones, responsabilidades y actividades a realizar.
– [op.cont.2.2] Existirá una previsión para coordinar la entrada en servicio de los medios alternativos de forma que se garantice poder seguir prestando los servicios esenciales de la organización.
– [op.cont.2.3] Todos los medios alternativos estarán planificados y materializados en acuerdos o contratos con los proveedores correspondientes.
– [op.cont.2.4] Las personas afectadas por el plan recibirán formación específica relativa a su papel en dicho plan.
– [op.cont.2.5] El plan de continuidad será parte integral y armónica de los planes de continuidad de la organización en otras materias ajenas a la seguridad.</t>
  </si>
  <si>
    <t>Firma electrónica avanzada basada en certificados cualificados</t>
  </si>
  <si>
    <t>R4-Firma electrónica avanzada basada en certificados cualificados.
– [mp.info.3.r4.1] Se usará firma electrónica avanzada basada en certificados cualificados complementada por un segundo factor del tipo «algo que se sabe» o «algo que se es».</t>
  </si>
  <si>
    <t>mp.info.6</t>
  </si>
  <si>
    <t>– [op.cont.3.1] Se realizarán pruebas periódicas para localizar y, en su caso, corregir los errores o deficiencias que puedan existir en el plan de continuidad.</t>
  </si>
  <si>
    <t>Pruebas de recuperación</t>
  </si>
  <si>
    <t>APLICA: medida exigida para la categoría ALTA del sistema (afecta a todas las dimensiones). Exigencia: 'aplica'. Riesgos tratados según AR-2026-01. CCN-STIC 808: 6 requisitos de verificación (4 esenciales).</t>
  </si>
  <si>
    <t>Protección del correo: normas de uso, prohibición de reenvío automático externo, cifrado para información CONFIDENCIAL/RESERVADA, concienciación anti-phishing.</t>
  </si>
  <si>
    <t>R1-Pruebas de recuperación.
– [mp.info.6.r1.1] Los procedimientos de copia de seguridad y restauración deben probarse regularmente. Su frecuencia dependerá de la criticidad de los datos y del impacto que cause la falta de disponibilidad.</t>
  </si>
  <si>
    <t>Pasarela de correo con antispam/antimalware/sandbox; SPF, DKIM, DMARC (p=reject); cifrado S/MIME y TLS obligatorio con las consejerías; DLP saliente; limpieza de metadatos.</t>
  </si>
  <si>
    <t>Dimensión D = ALTO → R1+R2 exigidos → cumplidos.</t>
  </si>
  <si>
    <t>Configuración de pasarela; informe DMARC; NOR-01</t>
  </si>
  <si>
    <t>Protección de las copias de seguridad</t>
  </si>
  <si>
    <t>– [op.cont.4.1] Estará prevista la disponibilidad de medios alternativos para poder seguir prestando servicio cuando los medios habituales no estén disponibles. En concreto, se cubrirán los siguientes elementos del sistema:
a) Servicios contratados a terceros.
b) Instalaciones alternativas.
c) Personal alternativo.
d) Equipamiento informático alternativo.
e) Medios de comunicación alternativos.
– [op.cont.4.2] Se establecerá un tiempo máximo para que los medios alternativos entren en funcionamiento.
– [op.cont.4.3] Los medios alternativos estarán sometidos a las mismas garantías de seguridad que los originales.</t>
  </si>
  <si>
    <t>5.14 Transferencia de información; 8.7 Malware; 8.24 Criptografía; 8.23 Filtrado web</t>
  </si>
  <si>
    <t>CCN-STIC 804/808, 807</t>
  </si>
  <si>
    <t>R2-Protección de las copias de seguridad.
– [mp.info.6.r2.1] Al menos, una de las copias de seguridad se almacenará de forma separada en lugar diferente, de tal manera que un incidente no pueda afectar tanto al repositorio original como a la copia simultáneamente.</t>
  </si>
  <si>
    <t>mp.s.2</t>
  </si>
  <si>
    <t>Protección de servicios y aplicaciones web</t>
  </si>
  <si>
    <t>– [op.mon.1.1] Se dispondrá de herramientas de detección o prevención de intrusiones.</t>
  </si>
  <si>
    <t>Auditorías de seguridad avanzada</t>
  </si>
  <si>
    <t>R1-Detección basada en reglas.
– [op.mon.1.r1.1] El sistema dispondrá de herramientas de detección o prevención de intrusiones basadas en reglas.
R2-Procedimientos de respuesta.
– [op.mon.1.r2.1] Existirán procedimientos de respuesta a las alertas generadas por el sistema de detección o prevención de intrusiones.</t>
  </si>
  <si>
    <t>R2-Auditorías de seguridad avanzada.
– [mp.s.2.r2.1] Se realizarán auditorías de seguridad de «caja blanca» sobre las aplicaciones web durante la fase de desarrollo.
– [mp.s.2.r2.2] Se emplearán metodologías definidas y herramientas automáticas de detección de vulnerabilidades en la realización de las auditorías de seguridad sobre las aplicaciones web.
– [mp.s.2.r2.3] Una vez finalizada una auditoría de seguridad, se analizarán los resultados y se solventarán las vulnerabilidades encontradas mediante los procedimientos definidos [op.exp.5].</t>
  </si>
  <si>
    <t>R2+R3 exigidos en ALTO → cumplidos.</t>
  </si>
  <si>
    <t>– [op.mon.2.1] Atendiendo a la categoría de seguridad del sistema, se recopilarán los datos necesarios para conocer el grado de implantación de las medidas de seguridad que resulten aplicables y, en su caso, para proveer el informe anual requerido por el artículo 32.</t>
  </si>
  <si>
    <t>Protección de las cachés</t>
  </si>
  <si>
    <t>R1-Efectividad del sistema de gestión de incidentes.
– [op.mon.2.r1.1] Se recopilarán los datos precisos que posibiliten evaluar el comportamiento del sistema de gestión de incidentes, de acuerdo con la Instrucción Técnica de Seguridad de Notificación de Incidentes de Seguridad y con la correspondiente guía CCN-STIC.
R2-Eficiencia del sistema de gestión de la seguridad.
– [op.mon.2.r2.1] Se recopilarán los datos precisos para conocer la eficiencia del sistema de seguridad, en relación con los recursos consumidos, en términos de horas y presupuesto.</t>
  </si>
  <si>
    <t>+ R1 + R2 + R3 + R4 + R5 + R6</t>
  </si>
  <si>
    <t>R3-Protección de las cachés.
– [mp.s.2.r3.1] Se prevendrán ataques de manipulación de programas o dispositivos que realizan una acción en representación de otros, conocidos en terminología inglesa como "proxies" y, sistemas especiales de almacenamiento de alta velocidad, conocidos en terminología inglesa como "cachés".</t>
  </si>
  <si>
    <t>– [op.mon.3.1] Se dispondrá de un sistema automático de recolección de eventos de seguridad.</t>
  </si>
  <si>
    <t>Auditorías de seguridad</t>
  </si>
  <si>
    <t>BAJO/MEDIO</t>
  </si>
  <si>
    <t>R1-Correlación de eventos.
– [op.mon.3.r1.1] Se dispondrá de un sistema automático de recolección de eventos de seguridad que permita la correlación de los mismos.
R2-Análisis dinámico.
– [op.mon.3.r2.1] Se dispondrá de soluciones de vigilancia que permitan determinar la superficie de exposición con relación a vulnerabilidades y deficiencias de configuración.
R3-Ciberamenazas avanzadas.
– [op.mon.3.r3.1] Se dispondrá de sistemas para detección de amenazas avanzadas y comportamientos anómalos.
– [op.mon.3.r3.2] Se dispondrá de sistemas para la detección de amenazas persistentes avanzadas (Advanced Persistent Threat, APT) mediante la detección de anomalías significativas en el tráfico de la red.
R4-Observatorios digitales.
– [op.mon.3.r4.1] Se dispondrá de observatorios digitales con fines de cibervigilancia dedicados a la detección y seguimiento de anomalías que pudieran representar indicadores de amenaza en contenidos digitales.
R5-Minería de datos.
Se aplicarán medidas para prevenir, detectar y reaccionar frente a intentos de minería de datos:
– [op.mon.3.r5.1] Limitación de las consultas, monitorizando volumen y frecuencia.
– [op.mon.3.r5.2] Alerta a los administradores de seguridad de comportamientos sospechosos en tiempo real.
R6-Inspecciones de seguridad.
Periódicamente, o tras incidentes que hayan desvelado vulnerabilidades del sistema nuevas o subestimadas, se realizarán las siguientes inspecciones:
– [op.mon.3.r6.1] Verificación de configuración.
– [op.mon.3.r6.2] Análisis de vulnerabilidades.
– [op.mon.3.r6.3] Pruebas de penetración.</t>
  </si>
  <si>
    <t>R1-Auditorías de seguridad.
– [mp.s.2.r1.1] Se realizarán auditorías continuas de seguridad de «caja negra» sobre las aplicaciones web durante la fase de desarrollo y antes de la fase de producción.
– [mp.s.2.r1.2] La frecuencia de estas auditorías de seguridad quedará definida en el procedimiento de auditoría.</t>
  </si>
  <si>
    <t>– [mp.if.1.1] El equipamiento del Centro de Proceso de Datos (CPD) se instalará, en la medida de lo posible, en áreas separadas, específicas para su función.
– [mp.if.1.2] Se controlarán los accesos a las áreas indicadas de forma que sólo se pueda acceder por las entradas previstas.</t>
  </si>
  <si>
    <t>mp.s.3</t>
  </si>
  <si>
    <t>Protección de la navegación web</t>
  </si>
  <si>
    <t>Monitorización</t>
  </si>
  <si>
    <t>[mp.if.2.1] El procedimiento de control de acceso identificará a las personas que accedan a los locales donde hay equipamiento esencial que forme parte del sistema de información del CPD, registrando las correspondientes entradas y salidas.</t>
  </si>
  <si>
    <t>R1 - Monitorización.
– [mp.s.3.r1.1] Se registrará el uso de la navegación web, estableciendo los elementos que se registran, el periodo de retención de estos registros y el uso que el organismo prevé hacer de ellos.
– [mp.s.3.r1.2] Se establecerá una función para la ruptura de canales cifrados a fin de inspeccionar su contenido, indicando qué se analiza, qué se registra, durante cuánto tiempo se retienen los registros y qué uso prevé hacer el organismo de estas inspecciones. Todo ello sin perjuicio de que se puedan autorizar accesos cifrados singulares a destinos de confianza.
– [mp.s.3.r1.3] Se establecerá una lista negra de destinos vetados.</t>
  </si>
  <si>
    <t>[R2 Contraseña + OTP o R3 Certificados o R4 Certificados en dispositivo físico]
R5 Registro</t>
  </si>
  <si>
    <t>mp.s.4</t>
  </si>
  <si>
    <t>Los locales donde se ubiquen los sistemas de información y sus componentes esenciales dispondrán de elementos adecuados para el eficaz funcionamiento del equipamiento allí instalado, y, en especial, para asegurar:
– [mp.if.3.1] Las condiciones de temperatura y humedad.
– [mp.if.3.2] La protección frente a las amenazas identificadas en el análisis de riesgos.
– [mp.if.3.3] La protección del cableado frente a incidentes fortuitos o deliberados.</t>
  </si>
  <si>
    <t>Protección frente a denegación de servicio</t>
  </si>
  <si>
    <t>Detección y reacción</t>
  </si>
  <si>
    <t>APLICA: medida vinculada a la(s) dimensión(es) ICAT; nivel exigido ALTO (máx(I=ALTO, C=ALTO, A=ALTO, T=MEDIO) = ALTO). Exigencia: '+ [R2 o R3 o R4] + R5'. Riesgos tratados según AR-2026-01. CCN-STIC 808: 14 requisitos de verificación (10 esenciales).</t>
  </si>
  <si>
    <t>Usuarios externos (ciudadanos y empleados públicos de las consejerías): política de autenticación NOR-05; registro previo de identidad (R5) mediante Cl@ve / certificado o presencial en oficinas de la consejería; información sobre obligaciones y último acceso.</t>
  </si>
  <si>
    <t>– [mp.if.4.1] Los locales donde se ubiquen los sistemas de información y sus componentes esenciales dispondrán de tomas de energía eléctrica, de modo que se garantice el suministro y el correcto funcionamiento de las luces de emergencia.</t>
  </si>
  <si>
    <t>Integración con Cl@ve (Cl@ve PIN/permanente con OTP = R2; certificado electrónico cualificado = R3; DNIe = R4) para ciudadanos; empleados de las consejerías vía federación SAML con MFA de su organismo; bloqueo tras 5 intentos; sin contraseñas por defecto.</t>
  </si>
  <si>
    <t>R1-Detección y reacción.
– [mp.s.4.r1.1] Se establecerá un sistema de detección y tratamiento de ataques de denegación de servicio (DoS y DDoS).
– [mp.s. 4.r1.2] Se establecerán procedimientos de reacción a los ataques, incluyendo la comunicación con el proveedor de comunicaciones.</t>
  </si>
  <si>
    <t>NOR-05; diseño de integración Cl@ve DIS-CLAVE-01; convenio de federación</t>
  </si>
  <si>
    <t>5.17 Información de autenticación; 8.5 Autenticación segura; 5.16 Gestión de identidades</t>
  </si>
  <si>
    <t>– [mp.if.5.1] Los locales donde se ubiquen los sistemas de información y sus componentes esenciales se protegerán frente a incendios atendiendo, al menos, a la normativa industrial de aplicación.</t>
  </si>
  <si>
    <t>mp.if.6</t>
  </si>
  <si>
    <t>Protección frente a inundaciones</t>
  </si>
  <si>
    <t>– [mp.if.6.1] Los locales donde se ubiquen los sistemas de información y sus componentes esenciales se protegerán frente a incidentes causados por el agua.</t>
  </si>
  <si>
    <t>+ [R1 o R2 o R3]</t>
  </si>
  <si>
    <t>+ [R2 o R3] + R4</t>
  </si>
  <si>
    <t>– [mp.if.7.1] Se llevará un registro pormenorizado de cualquier entrada y salida de equipamiento esencial, incluyendo la identificación de la persona que autoriza el movimiento.</t>
  </si>
  <si>
    <t>– [mp.per.1.1] Para cada puesto de trabajo, relacionado directamente con el manejo de información o servicios, se definirán las responsabilidades en materia de seguridad, que estarán basadas en el análisis de riesgos.
– [mp.per.1.2] Se definirán los requisitos que deben satisfacer las personas que vayan a ocupar el puesto de trabajo, en particular, en términos de confidencialidad. Dichos requisitos se tendrán en cuenta en la selección de la persona que vaya a ocupar el puesto, incluyendo la verificación de sus antecedentes laborales, formación y otras referencias, de conformidad con el ordenamiento jurídico y el respeto a los derechos fundamentales.</t>
  </si>
  <si>
    <t>[R2 Segmentación lógica avanzada o R3 Segmentación física]
R4 Puntos de interconexión</t>
  </si>
  <si>
    <t>Se informará a cada persona que trabaje en el sistema de los deberes y responsabilidades de su puesto de trabajo en materia de seguridad, contemplando:
– [mp.per.2.1] Las medidas disciplinarias a que haya lugar.
– [mp.per.2.2] Contemplando tanto el periodo durante el cual se desempeña el puesto, como las obligaciones en caso de término de la asignación, o traslado a otro puesto de trabajo.
– [mp.per.2.3] El deber de confidencialidad respecto de los datos a los que tenga acceso, tanto durante el periodo que esté adscrito al puesto de trabajo, como posteriormente a su terminación.
– [mp.per.2.4] En caso de personal contratado a través de un tercero:
• [mp.per.2.4.1] Se establecerán los deberes y obligaciones de cada parte y del personal contratado.
• [mp.per.2.4.2] Se establecerá el procedimiento de resolución de incidentes relacionados con el incumplimiento de las obligaciones.</t>
  </si>
  <si>
    <t>APLICA: medida exigida para la categoría ALTA del sistema (afecta a todas las dimensiones). Exigencia: '+ [R2 o R3] + R4'. Riesgos tratados según AR-2026-01. CCN-STIC 808: 6 requisitos de verificación (0 esenciales).</t>
  </si>
  <si>
    <t>Separación de flujos: segmentación lógica avanzada (R2) por función y nivel (usuarios, administración, servidores por servicio, DMZ, gestión, backup, OT/IoT); control de puntos de interconexión (R4) entre segmentos con cortafuegos y monitorización; segmentación física (R3) para la red de gestión fuera de banda.</t>
  </si>
  <si>
    <t>VLAN + VRF + microsegmentación (NSX) con políticas por carga; cortafuegos internos entre zonas; red de gestión OOB física; NAC.</t>
  </si>
  <si>
    <t>ARQ-02 (matriz de zonas y flujos); revisión semestral de políticas de microsegmentación</t>
  </si>
  <si>
    <t>Se realizarán las acciones necesarias para concienciar regularmente al personal acerca de su papel y responsabilidad para que la seguridad del sistema alcance los niveles exigidos. En particular, se recordará periódicamente:
– [mp.per.3.1] La normativa de seguridad relativa al buen uso de los equipos o sistemas y las técnicas de ingeniería social más habituales.
– [mp.per.3.2] La identificación de incidentes, actividades o comportamientos sospechosos que deban ser reportados para su tratamiento por personal especializado.
– [mp.per.3.3] El procedimiento para informar sobre incidentes de seguridad, sean reales o falsas alarmas.</t>
  </si>
  <si>
    <t>8.22 Segregación de redes; 8.20 Seguridad de redes</t>
  </si>
  <si>
    <t>– [mp.per.4.1] Se formará regularmente al personal en aquellas materias relativas a seguridad de la información que requiera el desempeño de sus funciones, en particular en lo relativo a:
a) Configuración de sistemas.
b) Detección y reacción ante incidentes.
c) Gestión de la información en cualquier soporte en el que se encuentre. Se cubrirán al menos las siguientes actividades: almacenamiento, transferencia, copias, distribución y destrucción.
Además, se evaluará la eficacia de las acciones formativas llevadas a cabo.</t>
  </si>
  <si>
    <t>– [mp.eq.1.1] Los puestos de trabajo permanecerán despejados, sin que exista material distinto del necesario en cada momento.</t>
  </si>
  <si>
    <t>– [mp.eq.2.1] El puesto de trabajo se bloqueará al cabo de un tiempo prudencial de inactividad, requiriendo una nueva autenticación del usuario para reanudar la actividad en curso.</t>
  </si>
  <si>
    <t>Los equipos (ordenadores portátiles, tabletas, etc.) que sean susceptibles de salir de las instalaciones de la organización y no puedan beneficiarse de la protección física correspondiente, con un riesgo manifiesto de pérdida o robo, serán protegidos adecuadamente.
Sin perjuicio de las medidas generales que les afecten, se adoptarán las siguientes:
– [mp.eq.3.1] Se llevará un inventario de dispositivos portátiles junto con una identificación de la persona responsable de cada uno de ellos y un control regular de que está positivamente bajo su control.
– [mp.eq.3.2] Se establecerá un procedimiento operativo de seguridad para informar al servicio de gestión de incidentes de pérdidas o sustracciones.
– [mp.eq.3.3] Cuando un dispositivo portátil se conecte remotamente a través de redes que no están bajo el estricto control de la organización, el ámbito de operación del servidor limitará la información y los servicios accesibles a los mínimos imprescindibles, requiriendo autorización previa de los responsables de la información y los servicios afectados. Este punto es de aplicación a conexiones a través de internet y otras redes que no sean de confianza.
– [mp.eq.3.4] Se evitará, en la medida de lo posible, que el dispositivo portátil contenga claves de acceso remoto a la organización que no sean imprescindibles. Se considerarán claves de acceso remoto aquellas que sean capaces de habilitar un acceso a otros equipos de la organización u otras de naturaleza análoga.</t>
  </si>
  <si>
    <t>R1– Cifrado del disco.
– [mp.eq.3.r1.1] Se protegerá el dispositivo portátil mediante cifrado del disco duro cuando el nivel de confidencialidad de la información almacenada en el mismo sea de nivel MEDIO.
R2– Entornos protegidos.
– [mp.eq.3.r2.1] El uso de dispositivos portátiles fuera de las instalaciones de la organización se restringirá a entornos protegidos, donde el acceso sea controlado y a salvo de hurtos y miradas indiscretas.</t>
  </si>
  <si>
    <t>Esta medida afecta a todo tipo de dispositivos conectados a la red y que puedan tener en algún momento acceso a la información, tales como:
a) Dispositivos multifunción: impresoras, escáneres, etc.
b) Dispositivos multimedia: proyectores, altavoces inteligentes, etc.
c) Dispositivos internet de las cosas, en inglés Internet of Things (IoT).
d) Dispositivos de invitados y los personales de los propios empleados, en inglés Bring Your Own Device (BYOD).
e) Otros.
– [mp.eq.4.1] Los dispositivos presentes en el sistema deberán contar con una configuración de seguridad adecuada de manera que se garantice el control del flujo definido de entrada y salida de la información.
– [mp.eq.4.2] Los dispositivos presentes en la red que dispongan de algún tipo de almacenamiento temporal o permanente de información proporcionarán la funcionalidad necesaria para eliminar información de soportes de información. (Ver [mp.si.5]).</t>
  </si>
  <si>
    <t>[R1 Contraseñas o R2 Contraseña + otro factor de autenticación o R3 Certificados o R4 Certificados en dispositivo físico]
R5 Registro
R6 Limitación de la ventana de acceso
R7 Suspensión por no utilización
R8 Doble factor para acceso desde o a través de zonas no controladas
R9 Acceso remoto (todos los niveles)</t>
  </si>
  <si>
    <t>APLICA: medida vinculada a la(s) dimensión(es) ICAT; nivel exigido ALTO (máx(I=ALTO, C=ALTO, A=ALTO, T=MEDIO) = ALTO). Exigencia: '+ [R1 o R2 o R3 o R4] + R5 + R6 + R7 + R8 + R9'. Riesgos tratados según AR-2026-01. CCN-STIC 808: 14 requisitos de verificación (7 esenciales).</t>
  </si>
  <si>
    <t>– [mp.com.1.1] Se dispondrá de un sistema de protección perimetral que separe la red interna del exterior. Todo el tráfico deberá atravesar dicho sistema.
– [mp.com.1.2] Todos los flujos de información a través del perímetro deben estar autorizados previamente.
La Instrucción Técnica de Seguridad de Interconexión de Sistemas de Información determinará los requisitos establecidos en el perímetro que han de cumplir todos los componentes del sistema en función de la categoría.</t>
  </si>
  <si>
    <t>Usuarios de TechServ: NOR-05 (contraseñas ≥14 caracteres, no reutilización, cambio ante sospecha); registro previo (R5) por RRHH; ventana de acceso limitada por horario y rol para administradores (R6); suspensión a los 45 días sin uso (R7); acceso remoto sólo por VPN con MFA (R8/R9).</t>
  </si>
  <si>
    <t>MFA obligatorio para todos (R2: contraseña + token FIDO2/app); administradores con certificado en tarjeta criptográfica (R4); AD con políticas de contraseñas y bloqueo; PAM; VPN con MFA y posture check; políticas de horario en AD/PAM; script de suspensión por inactividad.</t>
  </si>
  <si>
    <t>– [mp.com.2.1] Se emplearán redes privadas virtuales cifradas cuando la comunicación discurra por redes fuera del propio dominio de seguridad.</t>
  </si>
  <si>
    <t>NOR-05; GPO-AUTH-01; informe PAM; REG-IAM-SUSP</t>
  </si>
  <si>
    <t>R1-Algoritmos y parámetros autorizados.
– [mp.com.2.r1.1] Se emplearán algoritmos y parámetros autorizados por el CCN.
R2-Dispositivos hardware.
– [mp.com.2.r2.1] Se emplearán, dispositivos hardware en el establecimiento y utilización de la red privada virtual.
R3-Productos certificados.
– [mp.com.2.r3.1] Se usarán productos o servicios que cumplan lo establecido en [op.pl.5].</t>
  </si>
  <si>
    <t>8.5 Autenticación segura; 5.17 Información de autenticación; 6.7 Trabajo remoto; 8.1 Dispositivos de usuario</t>
  </si>
  <si>
    <t>IA</t>
  </si>
  <si>
    <t>– [mp.com.3.1] En comunicaciones con puntos exteriores al dominio propio de seguridad, se asegurará la autenticidad del otro extremo del canal de comunicación antes de intercambiar información. (Ver [op.acc.5]).
– [mp.com.3.2] Se prevendrán ataques activos garantizando que al ser detectados se activarán los procedimientos previstos de tratamiento del incidente. Se considerarán ataques activos:
a) La alteración de la información en tránsito.
b) La inyección de información espuria.
c) El secuestro de la sesión por una tercera parte.
– [mp.com.3.3] Se aceptará cualquier mecanismo de identificación y autenticación de los previstos en el ordenamiento jurídico y en la normativa de aplicación.</t>
  </si>
  <si>
    <t>R1-Redes privadas virtuales.
– [mp.com.3.r1.1] Se emplearán redes privadas virtuales cifradas cuando la comunicación discurra por redes fuera del propio dominio de seguridad.
R2-Algoritmos y parámetros autorizados.
– [mp.com.3.r2.1] Se emplearán algoritmos y parámetros autorizados por el CCN.
R3-Dispositivos hardware.
– [mp.com.3.r3.1] Se recomienda emplear dispositivos hardware en el establecimiento y utilización de la red privada virtual.
R4-Productos certificados.
– [mp.com.3.r4.1] Se emplearán productos certificados conforme a lo establecido en [op.pl.5].</t>
  </si>
  <si>
    <t>La segmentación acota el acceso a la información y, consiguientemente, la propagación de los incidentes de seguridad, que quedan restringidos al entorno donde ocurren.
Cuando la transmisión de información por la red se restringe a ciertos segmentos, se acota el acceso a la información y los incidentes de seguridad quedan encapsulados en su segmento.
Los flujos de información se separarán en segmentos de forma que:
– [mp.com.4.1] El tráfico por la red se segregará para que cada equipo solamente tenga acceso a la información que necesita.
– [mp.com.4.2] Si se emplean comunicaciones inalámbricas, será en un segmento separado.</t>
  </si>
  <si>
    <t>Aplica sólo en categoría ALTA → aplica.</t>
  </si>
  <si>
    <t>R1-Segmentación lógica básica.
– [mp.com.4.r1.1] Los segmentos de red se implementarán por medio de redes de área local virtuales (Virtual Local Area Network, VLAN).
– [mp.com.4.r1.2] La red que conforma el sistema deberá segregarse en distintas subredes contemplando como mínimo:
• Usuarios.
• Servicios.
• Administración.
R2-Segmentación lógica avanzada.
– [mp.com.4.r2.1] Los segmentos de red se implementarán por medio de redes privadas virtuales (Virtual Private Network, VPN).
R3-Segmentación física.
– [mp.com.4.r3.1] Los segmentos de red se implementarán con medios físicos separados.
R4-Puntos de interconexión.
– [mp.com.4.r4.1] Control de entrada de los usuarios que llegan a cada segmento y control de entrada y salida de la información disponible en cada segmento.
– [mp.com.4.r4.2] El punto de interconexión estará particularmente asegurado, mantenido y monitorizado, (como en [mp.com.1]).</t>
  </si>
  <si>
    <t>APLICA: medida exigida para la categoría ALTA del sistema (afecta a todas las dimensiones). Exigencia: 'aplica'. Riesgos tratados según AR-2026-01. CCN-STIC 808: 5 requisitos de verificación (0 esenciales).</t>
  </si>
  <si>
    <t>mp.si.1</t>
  </si>
  <si>
    <t>Protección de la cadena de suministro: due diligence de seguridad antes de contratar (cuestionario CCN-STIC 830 / ISO 27036), verificación de certificaciones (ENS, 27001), plan de contingencia por proveedor crítico, exigencia de SBOM a desarrolladores externos, revisión anual de riesgos de la cadena.</t>
  </si>
  <si>
    <t>Marcado de soportes</t>
  </si>
  <si>
    <t>Análisis de composición de software (SCA) en el pipeline; monitorización de exposición de proveedores (rating externo).</t>
  </si>
  <si>
    <t>– [mp.si.1.1] Los soportes de información (papel impreso, documentos electrónicos,
contenidos multimedia -vídeos, cursos, presentaciones- etc.) que contengan información
que según [mp.info.2] deba protegerse con medidas de seguridad específicas, llevarán
las marcas o metadatos correspondientes que indiquen el nivel de seguridad de la
información contenida de mayor calificación.</t>
  </si>
  <si>
    <t>Evaluaciones de proveedores 2026; plan de contingencia PROV-CONT-01; informes SCA</t>
  </si>
  <si>
    <t>5.21 Seguridad en la cadena de suministro TIC; 5.29 Seguridad durante la disrupción; 5.30 Preparación de las TIC para la continuidad</t>
  </si>
  <si>
    <t>IC</t>
  </si>
  <si>
    <t>Protección de los equipos</t>
  </si>
  <si>
    <t>Esta medida se aplica, en particular, a todos los dispositivos removibles cuando salen de un área controlada. Se entenderán por dispositivos removibles, los CD, DVD, discos extraíbles, pendrives, memorias USB u otros de naturaleza análoga.
– [mp.si.2.1] Se usarán mecanismos criptográficos que garanticen la confidencialidad y la integridad de la información contenida.
– [mp.si.2.2] Se emplearán algoritmos y parámetros autorizados por el CCN.</t>
  </si>
  <si>
    <t>R1– Productos certificados.
– [mp.si.2.r1.1] Se emplearán productos certificados conforme a lo establecido en [op.pl.5].
R2-Copias de seguridad.
– [mp.si.2.r2.1] Las copias se seguridad se cifrarán utilizando algoritmos y parámetros autorizados por el CCN.</t>
  </si>
  <si>
    <t>– [mp.si.3.1] Se aplicará la debida diligencia y control a los soportes de información que permanecen bajo la responsabilidad de la organización, garantizando el control de acceso con medidas físicas ([mp.if.1] y [mp.if.7]) o lógicas ([mp.si.2]).
– [mp.si.3.2] Se respetarán las exigencias de mantenimiento del fabricante, en especial, en lo referente a temperatura, humedad y otros agentes medioambientales.</t>
  </si>
  <si>
    <t>máx(A=ALTO) = ALTO</t>
  </si>
  <si>
    <t>R1 Cierre de sesiones</t>
  </si>
  <si>
    <t>APLICA: medida vinculada a la(s) dimensión(es) A; nivel exigido ALTO (máx(A=ALTO) = ALTO). Exigencia: '+ R1'. Riesgos tratados según AR-2026-01. CCN-STIC 808: 1 requisitos de verificación (1 esenciales).</t>
  </si>
  <si>
    <t>Bloqueo de sesión por inactividad y cierre de sesiones (R1) al final de la jornada o tras inactividad prolongada; obligación de bloquear al ausentarse.</t>
  </si>
  <si>
    <t>GPO: bloqueo a 5 min (puestos) y 2 min (consolas de administración); cierre de sesión forzado a las 8 h; PAM cierra sesiones privilegiadas inactivas a los 10 min.</t>
  </si>
  <si>
    <t>El responsable del sistema garantizará que los dispositivos permanecen bajo control y que satisfacen sus requisitos de seguridad mientras están siendo desplazados de un lugar a otro, fuera de las zonas controladas por la organización.
– [mp.si.4.1] Se dispondrá de un registro de entrada/salida que identifique al transportista que entrega/recibe el soporte.
– [mp.si.4.2] Se dispondrá de un procedimiento rutinario que coteje las salidas con las llegadas y levante las alarmas pertinentes cuando se detecte algún incidente.
– [mp.si.4.3] Se utilizarán los medios de protección criptográfica ([mp.si.2]) correspondientes al mayor nivel de seguridad de la información contenida.
– [mp.si.4.4] Se gestionarán las claves según [op.exp.10].</t>
  </si>
  <si>
    <t>GPO-LOCK-01; informes de cumplimiento</t>
  </si>
  <si>
    <t>7.7 Escritorio y pantalla despejados; 8.1 Dispositivos de usuario</t>
  </si>
  <si>
    <t>CCN-STIC 804/808, 5xx</t>
  </si>
  <si>
    <t>La medida de borrado y destrucción de soportes de información se aplicará a todo tipo de equipos y soportes susceptibles de almacenar información, incluyendo medios electrónicos y no electrónicos.
– [mp.si.5.1] Los soportes que vayan a ser reutilizados para otra información o liberados a otra organización serán objeto del borrado seguro de su contenido que no permita su recuperación. Cuando la naturaleza del soporte no permita un borrado seguro, el soporte no podrá ser reutilizado en ningún otro sistema.
Las guías CCN-STIC del CCN precisarán los criterios para definir como seguro un mecanismo de borrado o de destrucción, en función de la sensibilidad de la información almacenada en el dispositivo.</t>
  </si>
  <si>
    <t>– [mp.sw.1.1] El desarrollo de aplicaciones se realizará sobre un sistema diferente y separado del de producción, no debiendo existir herramientas o datos de desarrollo en el entorno de producción, ni datos de producción en el de desarrollo.</t>
  </si>
  <si>
    <t>R1-Mínimo privilegio.
– [mp.sw.1.r1.1] Las aplicaciones se desarrollarán respetando el principio de mínimo privilegio, accediendo únicamente a los recursos imprescindibles para su función, y con los privilegios que sean indispensables.
R2-Metodología de desarrollo seguro.
– [mp.sw.1.r2.1] Se aplicará una metodología de desarrollo seguro reconocida que:
a) Tendrá en consideración los aspectos de seguridad a lo largo de todo el ciclo de vida.
b) Incluirá normas de programación segura, especialmente: control de asignación y liberación de memoria, desbordamiento de memoria (overflow).
c) Tratará específicamente los datos usados en pruebas.
d) Permitirá la inspección del código fuente.
R3-Seguridad desde el diseño.
– [mp.sw.1.r3.1] Los siguientes elementos serán parte integral del diseño del sistema:
a) Los mecanismos de identificación y autenticación.
b) Los mecanismos de protección de la información tratada.
c) La generación y tratamiento de pistas de auditoría.
R4-Datos de pruebas.
– [mp.sw.1.r4.1] Preferiblemente, las pruebas previas a la implantación o modificación de los sistemas de información no se realizarán con datos reales. En caso de que fuese necesario recurrir a datos reales se garantizará el nivel de seguridad correspondiente.</t>
  </si>
  <si>
    <t>Antes de pasar a producción se comprobará el correcto funcionamiento de la aplicación.
– [mp.sw.2.1] Se comprobará que:
a) Se cumplen los criterios de aceptación en materia de seguridad.
b) No se deteriora la seguridad de otros componentes del servicio.</t>
  </si>
  <si>
    <t>máx(C=ALTO) = ALTO</t>
  </si>
  <si>
    <t>Dimensión C = ALTO → aplica.</t>
  </si>
  <si>
    <t>– [mp.info.1.1] Cuando el sistema trate datos personales, el responsable de seguridad recogerá los requisitos de protección de datos que sean fijados por el responsable o por el encargado del tratamiento, contando con el asesoramiento del DPD, y que sean necesarios implementar en los sistemas de acuerdo a la naturaleza, alcance, contexto y fines del mismo, así como de los riesgos para los derechos y libertades de acuerdo a lo establecido en los artículos 24 y 32 del RGPD, y de acuerdo a la evaluación de impacto en la protección de datos, si se ha llevado a cabo.</t>
  </si>
  <si>
    <t>APLICA: medida vinculada a la(s) dimensión(es) C; nivel exigido ALTO (máx(C=ALTO) = ALTO). Exigencia: 'aplica'. Riesgos tratados según AR-2026-01. CCN-STIC 808: 6 requisitos de verificación (0 esenciales).</t>
  </si>
  <si>
    <t>mp.info.2</t>
  </si>
  <si>
    <t>Calificación de la información</t>
  </si>
  <si>
    <t>Marcado de soportes según el nivel de calificación de la información (NOR-04): etiqueta con nivel, propietario e identificador; los usuarios conocen el significado de las etiquetas.</t>
  </si>
  <si>
    <t>Etiquetas físicas normalizadas; etiquetado lógico (metadatos) en cintas y discos extraíbles; inventario en CMDB.</t>
  </si>
  <si>
    <t>NOR-04; inventario de soportes INV-SOP</t>
  </si>
  <si>
    <t>5.13 Etiquetado de la información; 7.10 Soportes de almacenamiento</t>
  </si>
  <si>
    <t>– [mp.info.2.1] Para calificar la información se estará a lo establecido legalmente por las leyes y tratados internacionales de los que España es miembro y su normativa de aplicación cuando se trate de materias clasificadas. El valor a emplear en el caso de información de materias no clasificadas sería USO OFICIAL para información con algún tipo de restricción en su manejo por su sensibilidad y confidencialidad.
– [mp.info.2.2] La política de seguridad establecerá quién es el responsable de cada información manejada por el sistema.
– [mp.info.2.3] La política de seguridad recogerá, directa o indirectamente, los criterios que, en cada organización, determinarán el nivel de seguridad requerido, dentro del marco establecido en el artículo 40 y los criterios generales señalados en el anexo I.
– [mp.info.2.4] El responsable de cada información seguirá los criterios determinados en el apartado anterior para asignar a cada información el nivel de seguridad requerido, y será responsable de su documentación y aprobación formal.
– [mp.info.2.5] El responsable de cada información en cada momento tendrá en exclusiva la potestad de modificar el nivel de seguridad requerido, de acuerdo a los apartados anteriores.</t>
  </si>
  <si>
    <t>– [mp.info.3.1] Se empleará cualquier tipo de firma electrónica de los previstos en el vigente ordenamiento jurídico, entre ellos, los sistemas de código seguro de verificación vinculados a la Administración Pública, órgano, organismo público o entidad de derecho público, en los términos y condiciones establecidos en la Ley 39/2015, de 1 de octubre, del Procedimiento Administrativo Común de las Administraciones Públicas, y en la Ley 40/2015, de 1 de octubre.</t>
  </si>
  <si>
    <t>R1-Certificados cualificados.
– [mp.info.3.r1.1] Cuando se empleen sistemas de firma electrónica avanzada basados en certificados, estos serán cualificados.
R2-Algoritmos y parámetros autorizados.
– [mp.info.3.r2.1] Se emplearán algoritmos y parámetros autorizados por el CCN o por un esquema nacional o europeo que resulte de aplicación.
El CCN determinará los algoritmos criptográficos que hayan sido autorizados nominalmente para su uso en el Esquema Nacional de Seguridad conforme a la Instrucción Técnica de Seguridad Criptología de empleo en el ENS.
R3-Verificación y validación de firma.
– [mp.info.3.r3.1] Cuando proceda, se garantizará la verificación y validación de la firma electrónica durante el tiempo requerido por la actividad administrativa que aquélla soporte, sin perjuicio de que se pueda ampliar este período de acuerdo con lo que establezca la Política de Firma Electrónica y de Certificados que sea de aplicación. Para tal fin se adjuntará a la firma, o se referenciará, toda la información pertinente para su verificación y validación, incluyendo certificados o datos de verificación y validación.
R4-Firma electrónica avanzada basada en certificados cualificados.
– [mp.info.3.r4.1] Se usará firma electrónica avanzada basada en certificados cualificados complementada por un segundo factor del tipo «algo que se sabe» o «algo que se es».</t>
  </si>
  <si>
    <t>mp.info.4</t>
  </si>
  <si>
    <t>Sellos de tiempo</t>
  </si>
  <si>
    <t>La utilización de sellos de tiempo exigirá adoptar las siguientes cautelas:
– [mp.info.4.1] Los sellos de tiempo se aplicarán a aquella información que sea susceptible de ser utilizada como evidencia electrónica en el futuro.
– [mp.info.4.2] Los datos pertinentes para la verificación posterior de la fecha serán tratados con la misma seguridad que la información fechada a efectos de disponibilidad, integridad y confidencialidad.
– [mp.info.4.3] Se renovarán regularmente los sellos de tiempo hasta que la información protegida ya no sea requerida por el proceso administrativo al que da soporte, en su caso.
– [mp.info.4.4] Se emplearán "sellos cualificados de tiempo electrónicos" atendiendo a lo dispuesto en el Reglamento (UE) n.º 910/2014 y normativa de desarrollo.</t>
  </si>
  <si>
    <t>mp.info.5</t>
  </si>
  <si>
    <t>APLICA: medida vinculada a la(s) dimensión(es) C; nivel exigido ALTO (máx(C=ALTO) = ALTO). Exigencia: 'aplica'. Riesgos tratados según AR-2026-01. CCN-STIC 808: 7 requisitos de verificación (2 esenciales).</t>
  </si>
  <si>
    <t>Limpieza de documentos</t>
  </si>
  <si>
    <t>Política de calificación de la información NOR-04: niveles (PÚBLICO, USO INTERNO, CONFIDENCIAL, RESERVADO) alineados con el nivel de C del Anexo I; el Responsable de la Información califica; procedimientos de manejo por nivel (etiquetado, acceso, cifrado, transmisión, destrucción).</t>
  </si>
  <si>
    <t>Etiquetado de documentos (MIP/AIP) con DLP asociado; clasificación en repositorios.</t>
  </si>
  <si>
    <t>– [mp.info.5.1] En el proceso de limpieza de documentos, se retirará de estos toda la información adicional contenida en campos ocultos, metadatos, comentarios o revisiones anteriores, salvo cuando dicha información sea pertinente para el receptor del documento.
Esta medida es especialmente relevante cuando el documento se difunde ampliamente, como ocurre cuando se ofrece al público en un servidor web u otro tipo de repositorio de información.</t>
  </si>
  <si>
    <t>NOR-04; guía de manejo por nivel; informes DLP</t>
  </si>
  <si>
    <t>5.12 Clasificación de la información; 5.13 Etiquetado</t>
  </si>
  <si>
    <t>– [mp.info.6.1] Se realizarán copias de seguridad que permitan recuperar datos perdidos, accidental o intencionadamente. La periodicidad y los plazos de retención de estas copias de seguridad se determinarán en la normativa interna de la organización relativa a copias de seguridad.
– [mp.info.6.2] Los procedimientos de respaldo establecidos indicarán:
a) Frecuencia de las copias.
b) Requisitos de almacenamiento en el propio lugar.
c) Requisitos de almacenamiento en otros lugares.
d) Controles para el acceso autorizado a las copias de respaldo.</t>
  </si>
  <si>
    <t>R1-Pruebas de recuperación.
– [mp.info.6.r1.1] Los procedimientos de copia de seguridad y restauración deben probarse regularmente. Su frecuencia dependerá de la criticidad de los datos y del impacto que cause la falta de disponibilidad.
R2-Protección de las copias de seguridad.
– [mp.info.6.r2.1] Al menos, una de las copias de seguridad se almacenará de forma separada en lugar diferente, de tal manera que un incidente no pueda afectar tanto al repositorio original como a la copia simultáneamente.</t>
  </si>
  <si>
    <t>El correo electrónico se protegerá frente a las amenazas que le son propias, actuando del siguiente modo:
– [mp.s.1.1] La información distribuida por medio de correo electrónico se protegerá, tanto en el cuerpo de los mensajes como en los anexos.
– [mp.s.1.2] Se protegerá la información de encaminamiento de mensajes y establecimiento de conexiones.
Se protegerá a la organización frente a problemas que se materializan por medio del correo electrónico, en concreto:
– [mp.s.1.3] Correo no solicitado, en su expresión inglesa «spam».
– [mp.s.1.4] Código dañino, constituidos por virus, gusanos, troyanos, espías, u otros de naturaleza análoga.
– [mp.s.1.5] Código móvil de tipo micro-aplicación, en su expresión inglesa «applet».
Se establecerán normas de uso del correo electrónico para el personal. (Ver [org.2]). Estas normas de uso contendrán:
– [mp.s.1.6] Limitaciones al uso como soporte de comunicaciones privadas.
– [mp.s.1.7] Actividades de concienciación y formación relativas al uso del correo electrónico.</t>
  </si>
  <si>
    <t>+ [R1 o R2]</t>
  </si>
  <si>
    <t>+ R2 + R3</t>
  </si>
  <si>
    <t>APLICA: medida vinculada a la(s) dimensión(es) C; nivel exigido ALTO (máx(C=ALTO) = ALTO). Exigencia: 'aplica'. Riesgos tratados según AR-2026-01. CCN-STIC 808: 2 requisitos de verificación (1 esenciales).</t>
  </si>
  <si>
    <t>Limpieza de documentos: procedimiento de retirada de metadatos, comentarios, cambios y campos ocultos antes de publicar o transferir documentos fuera del nivel de calificación; formación a usuarios.</t>
  </si>
  <si>
    <t>Limpieza automática de metadatos en la pasarela de correo y en el portal de publicación (herramienta OlvidoMeta / DLP); plantillas corporativas sin campos ocultos.</t>
  </si>
  <si>
    <t>Los sistemas que prestan servicios web deberán ser protegidos frente a las siguientes amenazas:
– [mp.s.2.1] Cuando la información requiera control de acceso se garantizará la imposibilidad de acceder a la información obviando la autenticación, en particular, tomando medidas en los siguientes aspectos:
a) Se evitará que el servidor ofrezca acceso a los documentos por vías alternativas al protocolo determinado.
b) Se prevendrán ataques de manipulación del localizador uniforme de recursos (Uniform Resource Locator, URL).
c) Se prevendrán ataques de manipulación de fragmentos de información que se almacena en el disco duro del visitante de una página web a través de su navegador, a petición del servidor de la página, conocido en terminología inglesa como cookies.
d) Se prevendrán ataques de inyección de código.
– [mp.s.2.2] Se prevendrán intentos de escalado de privilegios.
– [mp.s.2.3] Se prevendrán ataques de cross site scripting.</t>
  </si>
  <si>
    <t>PRO-INFO-02; configuración DLP</t>
  </si>
  <si>
    <t>5.14 Transferencia de información; 8.10 Borrado de información (sin equivalente directo)</t>
  </si>
  <si>
    <t>R1-Auditorías de seguridad.
– [mp.s.2.r1.1] Se realizarán auditorías continuas de seguridad de «caja negra» sobre las aplicaciones web durante la fase de desarrollo y antes de la fase de producción.
– [mp.s.2.r1.2] La frecuencia de estas auditorías de seguridad quedará definida en el procedimiento de auditoría.
R2-Auditorías de seguridad avanzada.
– [mp.s.2.r2.1] Se realizarán auditorías de seguridad de «caja blanca» sobre las aplicaciones web durante la fase de desarrollo.
– [mp.s.2.r2.2] Se emplearán metodologías definidas y herramientas automáticas de detección de vulnerabilidades en la realización de las auditorías de seguridad sobre las aplicaciones web.
– [mp.s.2.r2.3] Una vez finalizada una auditoría de seguridad, se analizarán los resultados y se solventarán las vulnerabilidades encontradas mediante los procedimientos definidos [op.exp.5].
R3-Protección de las cachés.
– [mp.s.2.r3.1] Se prevendrán ataques de manipulación de programas o dispositivos que realizan una acción en representación de otros, conocidos en terminología inglesa como "proxies" y, sistemas especiales de almacenamiento de alta velocidad, conocidos en terminología inglesa como "cachés".</t>
  </si>
  <si>
    <t>El acceso de los usuarios internos a la navegación por internet se protegerá frente a las amenazas que le son propias, actuando del siguiente modo:
– [mp.s.3.1] Se establecerá una normativa de utilización, definiendo el uso que se autoriza y las limitaciones de uso personal. En particular, se concretará el uso permitido de conexiones cifradas.
– [mp.s.3.2] Se llevarán a cabo regularmente actividades de concienciación sobre higiene en la navegación web, fomentando el uso seguro y alertando de usos incorrectos.
– [mp.s.3.3] Se formará al personal encargado de la administración del sistema en monitorización del servicio y respuesta a incidentes.
– [mp.s.3.4] Se protegerá la información de resolución de direcciones web y de establecimiento de conexiones.
– [mp.s.3.5] Se protegerá a la organización en general y al puesto de trabajo en particular frente a problemas que se materializan vía navegación web.
– [mp.s.3.6] Se protegerá contra la actuación de programas dañinos tales como páginas activas, descargas de código ejecutable, etc., previniendo la exposición del sistema a vectores de ataque del tipo spyware, ransomware, etc.
– [mp.s.3.7] Se establecerá una política ejecutiva de control de cookies, en particular, para evitar la contaminación entre uso personal y uso organizativo.</t>
  </si>
  <si>
    <t>Se establecerán medidas preventivas frente a ataques de denegación de servicio y denegación de servicio distribuido (Denial of Service, DoS y Distributed Denial of Service, DDoS). Para ello:
– [mp.s 4.1] Se planificará y dotará al sistema de capacidad suficiente para atender con holgura a la carga prevista.
– [mp.s.4.2] Se desplegarán tecnologías para prevenir los ataques conocidos.</t>
  </si>
  <si>
    <t>R1 Productos certificados</t>
  </si>
  <si>
    <t>APLICA: medida vinculada a la(s) dimensión(es) C; nivel exigido ALTO (máx(C=ALTO) = ALTO). Exigencia: '+ R1'. Riesgos tratados según AR-2026-01. CCN-STIC 808: 2 requisitos de verificación (1 esenciales).</t>
  </si>
  <si>
    <t>Otros dispositivos conectados (impresoras, IoT, cámaras, sondas): inventario, autorización, bastionado, segmentación, productos certificados (R1) cuando existan en el CPSTIC; borrado de datos residuales en impresoras.</t>
  </si>
  <si>
    <t>Fuente: texto del Anexo II del RD 311/2022 según el 'ENS navegable' del CCN (ens.ccn.cni.es), capturado 08/2026. Verificar siempre contra el BOE (BOE-A-2022-7191) para uso oficial.</t>
  </si>
  <si>
    <t>Segmento de red dedicado con NAC (802.1X / MAB); impresoras con cifrado de disco y borrado automático; firmware actualizado.</t>
  </si>
  <si>
    <t>INV-01 (categoría 'otros dispositivos'); política NAC; informe de cumplimiento</t>
  </si>
  <si>
    <t>8.1 Dispositivos de usuario; 8.20 Seguridad de redes; 5.9 Inventario</t>
  </si>
  <si>
    <t>Servicios en la nube</t>
  </si>
  <si>
    <t>APLICA: medida vinculada a la(s) dimensión(es) C; nivel exigido ALTO (máx(C=ALTO) = ALTO). Exigencia: '+ R1'. Riesgos tratados según AR-2026-01. CCN-STIC 808: 4 requisitos de verificación (1 esenciales).</t>
  </si>
  <si>
    <t>Borrado y destrucción: procedimiento por tipo de soporte (borrado seguro, desmagnetización, destrucción física) con certificado; productos certificados (R1) para borrado; registro de destrucciones; destrucción de soportes de nivel ALTO siempre física.</t>
  </si>
  <si>
    <t>Software de borrado cualificado; desmagnetizador; trituradora de discos y cintas (DIN 66399 H-5); certificados de la empresa destructora.</t>
  </si>
  <si>
    <t>PRO-SOP-03; REG-DEST-2026; certificados de destrucción</t>
  </si>
  <si>
    <t>7.10 Soportes; 7.14 Eliminación segura o reutilización de equipos; 8.10 Borrado de información</t>
  </si>
  <si>
    <t>Dimensión D = ALTO → aplica.</t>
  </si>
  <si>
    <t>APLICA: medida vinculada a la(s) dimensión(es) D; nivel exigido ALTO (máx(D=ALTO) = ALTO). Exigencia: 'aplica'. Riesgos tratados según AR-2026-01. CCN-STIC 808: 2 requisitos de verificación (0 esenciales).</t>
  </si>
  <si>
    <t>Análisis de impacto en el negocio BIA-2026 (ISO 22301): procesos y servicios, dependencias, RTO/RPO por servicio (S-01 RTO 4 h/RPO 15 min; S-02/S-03 RTO 24 h/RPO 1 h), recursos mínimos; aprobado por las consejerías.</t>
  </si>
  <si>
    <t>Plantilla BIA en RiskHub; mapa de dependencias desde la CMDB.</t>
  </si>
  <si>
    <t>BIA-2026; ACTA-CSI-2026-02</t>
  </si>
  <si>
    <t>5.29 Seguridad durante la disrupción; 5.30 Preparación de las TIC para la continuidad (BIA – ISO 22301)</t>
  </si>
  <si>
    <t>R1 Mejora continua de la gestión de la capacidad</t>
  </si>
  <si>
    <t>APLICA: medida vinculada a la(s) dimensión(es) D; nivel exigido ALTO (máx(D=ALTO) = ALTO). Exigencia: '+ R1'. Riesgos tratados según AR-2026-01. CCN-STIC 808: 7 requisitos de verificación (1 esenciales).</t>
  </si>
  <si>
    <t>Estudio de capacidad previo a la puesta en producción (PRO-CAP-01): procesamiento, almacenamiento, comunicaciones, personal e instalaciones; revisión continua trimestral con umbrales y mejora continua (R1).</t>
  </si>
  <si>
    <t>Monitorización de capacidad (Zabbix/Grafana) con alertas al 70/85 %; informes trimestrales de tendencia; autoescalado en el tenant cloud.</t>
  </si>
  <si>
    <t>INF-CAP-2026-Q1..Q3; PRO-CAP-01</t>
  </si>
  <si>
    <t>8.6 Gestión de la capacidad; 8.14 Redundancia de instalaciones</t>
  </si>
  <si>
    <t>R1 Suministro eléctrico de emergencia</t>
  </si>
  <si>
    <t>Leyenda y guía de uso</t>
  </si>
  <si>
    <t>APLICA: medida vinculada a la(s) dimensión(es) D; nivel exigido ALTO (máx(D=ALTO) = ALTO). Exigencia: '+ R1'. Riesgos tratados según AR-2026-01. CCN-STIC 808: 3 requisitos de verificación (0 esenciales).</t>
  </si>
  <si>
    <t>Garantía de suministro eléctrico y suministro de emergencia (R1): contrato con dos acometidas, mantenimiento preventivo de SAI y grupo, pruebas mensuales de grupo electrógeno.</t>
  </si>
  <si>
    <t>Doble acometida, SAI redundantes (autonomía 30 min), grupo electrógeno con 48 h de combustible y contrato de reposición; apagado ordenado automatizado.</t>
  </si>
  <si>
    <t>Nivel BAJO / MEDIO / ALTO (Anexo II)</t>
  </si>
  <si>
    <t>REG-MANT-ELEC; pruebas mensuales de grupo</t>
  </si>
  <si>
    <t>7.11 Servicios de suministro; 7.5 Amenazas físicas y ambientales</t>
  </si>
  <si>
    <t>'aplica' = medida exigida sin refuerzos · '+ Rn' = exigida con los refuerzos indicados · '[R1 o R2]' = al menos uno del grupo · 'n.a.' = no exigida en ese nivel.</t>
  </si>
  <si>
    <t>Dimensiones afectadas</t>
  </si>
  <si>
    <t>'Categoría' = la medida se exige según la categoría del sistema (todas las dimensiones). Letras (D, I, C, A, T) = la medida se exige según el nivel MÁS ALTO de esas dimensiones.</t>
  </si>
  <si>
    <t>Nivel exigido: ALTO</t>
  </si>
  <si>
    <t>R1 Detección y reacción</t>
  </si>
  <si>
    <t>Nivel exigido: MEDIO</t>
  </si>
  <si>
    <t>APLICA: medida vinculada a la(s) dimensión(es) D; nivel exigido ALTO (máx(D=ALTO) = ALTO). Exigencia: '+ R1'. Riesgos tratados según AR-2026-01. CCN-STIC 808: 5 requisitos de verificación (0 esenciales).</t>
  </si>
  <si>
    <t>Protección frente a denegación de servicio: planificación de capacidad, tecnologías anti-DoS en el perímetro y en el proveedor de comunicaciones, detección y reacción (R1) con procedimiento específico y contacto con el operador y el CCN-CERT.</t>
  </si>
  <si>
    <t>Servicio anti-DDoS del operador + scrubbing center; rate limiting y WAF; anycast DNS; alertas de anomalía de tráfico en el NDR; runbook de mitigación.</t>
  </si>
  <si>
    <t>Contrato anti-DDoS; PRO-INC-05 (DoS); prueba de mitigación 03/2026</t>
  </si>
  <si>
    <t>8.6 Gestión de la capacidad; 8.16 Monitorización; 8.14 Redundancia; 5.30 Continuidad TIC</t>
  </si>
  <si>
    <t>Nivel exigido: BAJO</t>
  </si>
  <si>
    <t>¿Aplica? = SÍ</t>
  </si>
  <si>
    <t>Monitorización del sistema</t>
  </si>
  <si>
    <t>Medida exigida por el Anexo II para el nivel/categoría de TechServ.</t>
  </si>
  <si>
    <t>¿Aplica? = SÍ (compensada)</t>
  </si>
  <si>
    <t>Medida exigida, implantada con medida compensatoria registrada (art. 28.3).</t>
  </si>
  <si>
    <t>R1 Pruebas de recuperación
R2 Protección de las copias de seguridad</t>
  </si>
  <si>
    <t>APLICA: medida vinculada a la(s) dimensión(es) D; nivel exigido ALTO (máx(D=ALTO) = ALTO). Exigencia: '+ R1 + R2'. Riesgos tratados según AR-2026-01. CCN-STIC 808: 11 requisitos de verificación (2 esenciales).</t>
  </si>
  <si>
    <t>Política de copias de seguridad: cobertura de información, configuraciones, claves y software; frecuencia según RPO; retención; pruebas de recuperación (R1) mensuales; protección de las copias (R2) con el mismo nivel que los originales (cifrado, control de acceso, copia inmutable off-site).</t>
  </si>
  <si>
    <t>Backup 3-2-1-1-0: replicación entre CPD, copia inmutable en cloud ENS ALTA, cintas cifradas off-site; restauraciones automatizadas de prueba; monitorización de jobs.</t>
  </si>
  <si>
    <t>POL-BCK-01; REG-REST-2026 (pruebas de restauración); informes de backup</t>
  </si>
  <si>
    <t>8.13 Copias de seguridad de la información; 8.14 Redundancia</t>
  </si>
  <si>
    <t>¿Aplica? = NO</t>
  </si>
  <si>
    <t>Medida no exigida para el nivel de la dimensión afectada; exclusión justificada.</t>
  </si>
  <si>
    <t>Estado = Implantada / Parcial / Planificada / No aplica</t>
  </si>
  <si>
    <t>Estado de implantación a la fecha de emisión; los parciales tienen acción en el Plan de Tratamiento de Riesgos (PTR-2026).</t>
  </si>
  <si>
    <t>Celdas amarillas (Categorización)</t>
  </si>
  <si>
    <t>Únicas celdas de entrada: niveles por dimensión aprobados por el CSI. Todo lo demás se rellena con criterio experto y justificación.</t>
  </si>
  <si>
    <t>Códigos documentales ficticios</t>
  </si>
  <si>
    <t>PSI (política), NOR (normativa), PRO (procedimiento), REG (registro), ARQ (arquitectura), INV (inventario), AR (análisis de riesgos), PTR (plan de tratamiento), MC (medida compensatoria), ACTA-CSI (actas del comité).</t>
  </si>
  <si>
    <t>Aviso</t>
  </si>
  <si>
    <t>Todos los datos de TechServ Administración, S.L. son ficticios y de uso docente. Texto normativo: RD 311/2022 (BOE-A-2022-7191). Mapeo ISO 27001:2022 conforme a la lógica de la guía CCN-STIC 825.</t>
  </si>
  <si>
    <t>máx(T=MEDIO) = MEDIO</t>
  </si>
  <si>
    <t>R1 Revisión de los registros
R2 Sincronización del reloj del sistema
R3 Retención de registros
R4 Control de acceso</t>
  </si>
  <si>
    <t>APLICA: medida vinculada a la(s) dimensión(es) T; nivel exigido MEDIO (máx(T=MEDIO) = MEDIO). Exigencia: '+ R1 + R2 + R3 + R4'. Riesgos tratados según AR-2026-01. CCN-STIC 808: 20 requisitos de verificación (2 esenciales).</t>
  </si>
  <si>
    <t>Política de registro de actividad: quién, cuándo, qué, resultado; revisión de registros (R1) diaria por el SOC; sincronización de reloj (R2); retención (R3) 2 años (online 12 meses + archivo); control de acceso a los logs (R4) sólo lectura para auditoría.</t>
  </si>
  <si>
    <t>SIEM centralizado con recolección desde todas las fuentes; NTP interno sincronizado con ROA/stratum-1; almacenamiento WORM; cifrado e integridad (hash encadenado); correlación automática (R5) implantada aunque no exigida.</t>
  </si>
  <si>
    <t>POL-LOG-01; arquitectura SIEM; informe de retención; REG-LOG-REV</t>
  </si>
  <si>
    <t>8.15 Registro de eventos; 8.17 Sincronización de relojes; 8.16 Monitorización</t>
  </si>
  <si>
    <t>máx(I=ALTO, A=ALTO) = ALTO</t>
  </si>
  <si>
    <t>R1 Certificados cualificados
R2 Algoritmos y parámetros autorizados
R3 Verificación y validación de firma
R4 Firma electrónica avanzada basada en certificados cualificados</t>
  </si>
  <si>
    <t>APLICA: medida vinculada a la(s) dimensión(es) IA; nivel exigido ALTO (máx(I=ALTO, A=ALTO) = ALTO). Exigencia: '+ R1 + R2 + R3 + R4'. Riesgos tratados según AR-2026-01. CCN-STIC 808: 4 requisitos de verificación (2 esenciales).</t>
  </si>
  <si>
    <t>Política de firma electrónica: uso de certificados cualificados (R1) para actos administrativos con efectos jurídicos y para la firma del personal de TechServ; algoritmos y parámetros autorizados (R2); verificación y validación de firmas (R3) mediante plataforma de validación (@firma / TSA); firma electrónica avanzada basada en certificados cualificados (R4) para los empleados públicos que firman en las aplicaciones.</t>
  </si>
  <si>
    <t>Integración con @firma / AutoFirma / Cl@ve Firma; PKI interna con HSM para sello de órgano; verificación de firmas longevas (XAdES/PAdES-LT).</t>
  </si>
  <si>
    <t>POL-FIRMA-01; DIS-FIRMA-01; informes de validación</t>
  </si>
  <si>
    <t>8.24 Uso de criptografía; 8.26 Requisitos de seguridad de aplicaciones; 5.31 Requisitos legales (Reglamento eIDAS)</t>
  </si>
  <si>
    <t>máx(A=ALTO, T=MEDIO) = ALTO</t>
  </si>
  <si>
    <t>R1 Identificación avanzada</t>
  </si>
  <si>
    <t>APLICA: medida vinculada a la(s) dimensión(es) AT; nivel exigido ALTO (máx(A=ALTO, T=MEDIO) = ALTO). Exigencia: '+ R1'. Riesgos tratados según AR-2026-01. CCN-STIC 808: 8 requisitos de verificación (3 esenciales).</t>
  </si>
  <si>
    <t>Identificador único por persona/proceso (PRO-IAM-01); prohibición de cuentas compartidas; cuentas de servicio con propietario; bajas en ≤24 h; conservación de cuentas deshabilitadas para trazabilidad; identificación avanzada (R1) mediante vinculación a la identidad verificada de RRHH y a la PKI corporativa.</t>
  </si>
  <si>
    <t>Directorio corporativo (AD) integrado con RRHH (ciclo de vida automatizado); IGA (SailPoint) para gobierno de identidades; identidad de dispositivos mediante certificados.</t>
  </si>
  <si>
    <t>PRO-IAM-01; REG-IAM (altas/bajas); informe trimestral de revisión de cuentas</t>
  </si>
  <si>
    <t>5.16 Gestión de identidades; 5.17 Información de autenticación; 8.15 Registro de eventos</t>
  </si>
  <si>
    <t>Exclusión justificada por nivel de dimensión (T = MEDIO). Si T pasara a ALTO, la medida pasaría a exigible.</t>
  </si>
  <si>
    <t>NO</t>
  </si>
  <si>
    <t>NO APLICA: la medida afecta a la(s) dimensión(es) T, cuyo nivel es MEDIO, y el Anexo II sólo la exige en nivel ALTO. Exclusión formal registrada; se revisará si cambia el nivel de la dimensión.</t>
  </si>
  <si>
    <t>Sellos de tiempo cualificados: NO EXIGIDO (la medida afecta sólo a la dimensión T, cuyo nivel es MEDIO, y la medida sólo aplica en nivel ALTO). No obstante, las firmas de actos administrativos incorporan sello de tiempo de TSA cualificada por exigencia de la Ley 39/2015 y eIDAS (control voluntario, fuera de la SoA ENS).</t>
  </si>
  <si>
    <t>TSA cualificada integrada en @firma (uso voluntario).</t>
  </si>
  <si>
    <t>No aplica</t>
  </si>
  <si>
    <t>N/A para ENS; DIS-FIRMA-01</t>
  </si>
  <si>
    <t>8.24 Uso de criptografía; 8.17 Sincronización de relojes; 8.26 Requisitos de aplicaciones</t>
  </si>
  <si>
    <t>mp – Medidas de protección</t>
  </si>
  <si>
    <t>mp.com – Protección de las comunicaciones</t>
  </si>
  <si>
    <t>mp.eq – Protección de los equipos</t>
  </si>
  <si>
    <t>mp.if – Protección de las instalaciones e infraestructuras</t>
  </si>
  <si>
    <t>mp.info – Protección de la información</t>
  </si>
  <si>
    <t>mp.per – Gestión del personal</t>
  </si>
  <si>
    <t>mp.s – Protección de los servicios</t>
  </si>
  <si>
    <t>mp.si – Protección de los soportes de información</t>
  </si>
  <si>
    <t>mp.sw – Protección de las aplicaciones informáticas</t>
  </si>
  <si>
    <t>op – Marco operacional</t>
  </si>
  <si>
    <t>op.acc – Control de acceso</t>
  </si>
  <si>
    <t>Protección de las aplicaciones informáticas</t>
  </si>
  <si>
    <t>op.cont – Continuidad del servicio</t>
  </si>
  <si>
    <t>op.exp – Explotación</t>
  </si>
  <si>
    <t>op.ext – Recursos externos</t>
  </si>
  <si>
    <t>op.mon – Monitorización del sistema</t>
  </si>
  <si>
    <t>op.nub – Servicios en la nube</t>
  </si>
  <si>
    <t>op.pl – Planificación</t>
  </si>
  <si>
    <t>org – Marco organizativo</t>
  </si>
  <si>
    <t>R1 Algoritmos autorizados</t>
  </si>
  <si>
    <t>APLICA: medida exigida para la categoría ALTA del sistema (afecta a todas las dimensiones). Exigencia: '+ R1'. Riesgos tratados según AR-2026-01. CCN-STIC 808: 3 requisitos de verificación (1 esenciales).</t>
  </si>
  <si>
    <t>Política de gestión de claves PRO-CRYPT-01: generación, custodia, distribución, uso, rotación y destrucción; roles y doble control para claves raíz; algoritmos autorizados (R1) según CCN-STIC 807.</t>
  </si>
  <si>
    <t>HSM cualificado (FIPS 140-3 L3 / CPSTIC) para la PKI interna y claves de cifrado; KMS del proveedor cloud ENS ALTA; rotación automática; inventario de certificados.</t>
  </si>
  <si>
    <t>PRO-CRYPT-01; inventario de claves y certificados; ceremonia de claves 2025</t>
  </si>
  <si>
    <t>8.24 Uso de criptografía; 5.17 Información de autenticación</t>
  </si>
  <si>
    <t>R1 Coordinación de actividades</t>
  </si>
  <si>
    <t>APLICA: medida exigida para la categoría ALTA del sistema (afecta a todas las dimensiones). Exigencia: '+ R1'. Riesgos tratados según AR-2026-01. CCN-STIC 808: 2 requisitos de verificación (0 esenciales).</t>
  </si>
  <si>
    <t>Interconexiones con las consejerías, Red SARA, Cl@ve, AEAT y proveedores documentadas y autorizadas (org.4); acuerdo de interconexión por cada una (CCN-STIC 811); coordinación de actividades (R1) mediante comité técnico con las consejerías y procedimientos conjuntos de cambio e incidente.</t>
  </si>
  <si>
    <t>Pasarelas dedicadas por interconexión; cortafuegos + IPS; listas blancas; VPN site-to-site; monitorización de flujos.</t>
  </si>
  <si>
    <t>ACU-INT-01..06 (acuerdos de interconexión); ARQ-02; actas comité técnico</t>
  </si>
  <si>
    <t>8.20 Seguridad de redes; 8.21 Seguridad de servicios de red; 8.22 Segregación de redes; 5.14 Transferencia de información</t>
  </si>
  <si>
    <t>R1 Confirmación expresa</t>
  </si>
  <si>
    <t>APLICA: medida exigida para la categoría ALTA del sistema (afecta a todas las dimensiones). Exigencia: '+ R1'. Riesgos tratados según AR-2026-01. CCN-STIC 808: 4 requisitos de verificación (2 esenciales).</t>
  </si>
  <si>
    <t>Deberes y obligaciones informados y aceptados por escrito: confidencialidad (vigente tras la baja), uso aceptable, protección de datos, régimen disciplinario; confirmación expresa (R1) firmada al incorporarse y renovada anualmente; personal externo con las mismas obligaciones vía contrato.</t>
  </si>
  <si>
    <t>Firma electrónica de compromisos en el portal del empleado; recordatorio anual automatizado.</t>
  </si>
  <si>
    <t>Compromisos firmados (100 % plantilla, REG-ACEPT-NOR); cláusulas en contratos de proveedores</t>
  </si>
  <si>
    <t>6.2 Términos y condiciones; 6.4 Proceso disciplinario; 6.5 Responsabilidades tras la finalización; 6.6 Acuerdos de confidencialidad; 5.11 Devolución de activos</t>
  </si>
  <si>
    <t>TOTAL</t>
  </si>
  <si>
    <t>R1 Almacenamiento del material</t>
  </si>
  <si>
    <t>APLICA: medida exigida para la categoría ALTA del sistema (afecta a todas las dimensiones). Exigencia: '+ R1'. Riesgos tratados según AR-2026-01. CCN-STIC 808: 1 requisitos de verificación (1 esenciales).</t>
  </si>
  <si>
    <t>Norma de puesto despejado NOR-02: sólo el material necesario para la actividad en curso; almacenamiento del material (R1) en armarios/cajones con llave al finalizar la jornada; inspecciones aleatorias.</t>
  </si>
  <si>
    <t>Armarios con cerradura en todos los puestos; impresión segura con liberación por tarjeta.</t>
  </si>
  <si>
    <t>NOR-02; REG-INSP-PUESTO (inspecciones trimestrales)</t>
  </si>
  <si>
    <t>7.7 Escritorio y pantalla despejados</t>
  </si>
  <si>
    <t>Nota: la hoja 'SoA ENS' recalcula 'Nivel exigido' y 'Exigencia aplicable' a partir de la fila 'DECISIÓN CSI' de la hoja 'Categorización'. Si se cambia un nivel de dimensión, deben revisarse manualmente las columnas '¿Aplica?', 'Refuerzos exigidos' y 'Justificación' (son texto, no fórmula, porque requieren decisión y justificación humana).</t>
  </si>
  <si>
    <t>R1 Pruebas</t>
  </si>
  <si>
    <t>APLICA: medida exigida para la categoría ALTA del sistema (afecta a todas las dimensiones). Exigencia: '+ R1'. Riesgos tratados según AR-2026-01. CCN-STIC 808: 5 requisitos de verificación (3 esenciales).</t>
  </si>
  <si>
    <t>Aceptación y puesta en servicio (PRO-DEV-02): criterios de aceptación de seguridad, pruebas (R1) funcionales y de seguridad en preproducción con datos no reales, análisis de vulnerabilidades y pentest antes del paso a producción de cambios mayores; aprobación formal.</t>
  </si>
  <si>
    <t>Entornos separados; DAST y pentest en pre; gate de calidad en el pipeline (bloqueo si vulnerabilidades altas).</t>
  </si>
  <si>
    <t>Actas de aceptación 2026; informes de pruebas</t>
  </si>
  <si>
    <t>Jefe de Desarrollo</t>
  </si>
  <si>
    <t>8.29 Pruebas de seguridad en desarrollo y aceptación; 8.31 Separación de entornos; 8.33 Información de pruebas; 8.11 Enmascaramiento de datos</t>
  </si>
  <si>
    <t>CCN-STIC 804/808; OWASP SAMM</t>
  </si>
  <si>
    <t>R1 Monitorización</t>
  </si>
  <si>
    <t>APLICA: medida exigida para la categoría ALTA del sistema (afecta a todas las dimensiones). Exigencia: '+ R1'. Riesgos tratados según AR-2026-01. CCN-STIC 808: 9 requisitos de verificación (3 esenciales).</t>
  </si>
  <si>
    <t>Protección de la navegación: uso de proxy obligatorio, filtrado por categorías y reputación, bloqueo de descargas peligrosas, monitorización (R1) del tráfico de navegación con alertas al SOC.</t>
  </si>
  <si>
    <t>Proxy web seguro con inspección TLS (excepciones documentadas), aislamiento de navegación para administradores, DNS filtering, integración con SIEM.</t>
  </si>
  <si>
    <t>Política de proxy; informes de navegación; excepciones aprobadas</t>
  </si>
  <si>
    <t>8.23 Filtrado web; 8.7 Malware; 8.16 Monitorización</t>
  </si>
  <si>
    <t>R1 Privilegios de acceso</t>
  </si>
  <si>
    <t>APLICA: medida vinculada a la(s) dimensión(es) ICAT; nivel exigido ALTO (máx(I=ALTO, C=ALTO, A=ALTO, T=MEDIO) = ALTO). Exigencia: '+ R1'. Riesgos tratados según AR-2026-01. CCN-STIC 808: 5 requisitos de verificación (1 esenciales).</t>
  </si>
  <si>
    <t>Matriz de roles y permisos por aplicación (RBAC) aprobada por el Responsable de la Información de cada consejería; mínimo privilegio y necesidad de conocer; separación de privilegios de acceso: los administradores no operan con cuentas privilegiadas en el día a día (R1).</t>
  </si>
  <si>
    <t>Cuentas privilegiadas gestionadas en PAM (CyberArk) con check-out, grabación de sesión y aprobación; restricción de utilidades privilegiadas; acceso al código fuente limitado por Git con revisión.</t>
  </si>
  <si>
    <t>MAT-RBAC-S01..S04; PRO-IAM-02; informes PAM</t>
  </si>
  <si>
    <t>5.15 Control de acceso; 8.3 Restricción de acceso a la información; 8.18 Programas de utilidad privilegiados; 8.4 Acceso al código fuente</t>
  </si>
  <si>
    <t>máx(I=ALTO, C=ALTO) = ALTO</t>
  </si>
  <si>
    <t>R1 Productos certificados
R2 Copias de seguridad</t>
  </si>
  <si>
    <t>SÍ (compensada)</t>
  </si>
  <si>
    <t>APLICA: medida vinculada a la(s) dimensión(es) IC; nivel exigido ALTO (máx(I=ALTO, C=ALTO) = ALTO). Exigencia: '+ R1 + R2'. Riesgos tratados según AR-2026-01. CCN-STIC 808: 2 requisitos de verificación (0 esenciales).</t>
  </si>
  <si>
    <t>Cifrado obligatorio de soportes extraíbles y copias de seguridad con algoritmos autorizados; productos certificados (R1) salvo excepción compensada; copias de seguridad cifradas y con la misma protección que la información original (R2).</t>
  </si>
  <si>
    <t>USB sólo con cifrado hardware (dispositivos CPSTIC); cintas LTO cifradas (AES-256, claves en HSM); backups en cloud cifrados con BYOK; bloqueo de soportes no autorizados en endpoints (DLP).</t>
  </si>
  <si>
    <t>Parcial (compensada)</t>
  </si>
  <si>
    <t>PRO-CRYPT-01; MC-04; inventario de soportes cifrados</t>
  </si>
  <si>
    <t>8.24 Uso de criptografía; 7.10 Soportes de almacenamiento; 8.12 Prevención de fuga de datos</t>
  </si>
  <si>
    <t>R1 Pruebas en preproducción
R2 Prevención de fallos</t>
  </si>
  <si>
    <t>APLICA: medida exigida para la categoría ALTA del sistema (afecta a todas las dimensiones). Exigencia: '+ R1 + R2'. Riesgos tratados según AR-2026-01. CCN-STIC 808: 3 requisitos de verificación (2 esenciales).</t>
  </si>
  <si>
    <t>Política de parches PRO-PATCH-01: seguimiento de avisos (CCN-CERT, fabricantes, CVE), SLAs (críticas ≤72 h, altas ≤15 d), pruebas en preproducción (R1), análisis de riesgo antes de aplicar (R2), ventanas de mantenimiento; planes de contingencia ante fallo de actualización.</t>
  </si>
  <si>
    <t>WSUS/SCCM, gestor de parches Linux, escáner de vulnerabilidades (Tenable) semanal, entorno de preproducción idéntico; snapshots antes de actualizar.</t>
  </si>
  <si>
    <t>PRO-PATCH-01; informe mensual de vulnerabilidades; tickets de cambio</t>
  </si>
  <si>
    <t>8.8 Gestión de vulnerabilidades técnicas; 7.13 Mantenimiento de equipos; 8.31 Separación de entornos</t>
  </si>
  <si>
    <t>R1 Servicios certificados
R2 Guías de Configuración de Seguridad Específicas</t>
  </si>
  <si>
    <t>APLICA: medida exigida para la categoría ALTA del sistema (afecta a todas las dimensiones). Exigencia: '+ R1 + R2'. Riesgos tratados según AR-2026-01. CCN-STIC 808: 4 requisitos de verificación (2 esenciales).</t>
  </si>
  <si>
    <t>Uso de servicios cloud sólo con certificación ENS ALTA (R1) y ubicación de datos en la UE; análisis de riesgos específico; guías de configuración segura específicas del proveedor (R2, CCN-STIC 884-like / benchmarks del proveedor); contrato con cláusulas ENS/RGPD; estrategia de salida.</t>
  </si>
  <si>
    <t>Landing zone bastionada; CSPM para control continuo de configuración; cifrado con claves propias (BYOK); logs del proveedor integrados en el SIEM.</t>
  </si>
  <si>
    <t>Certificado ENS ALTA de NubeAdmin; GUI-CLOUD-01; informes CSPM</t>
  </si>
  <si>
    <t>5.23 Seguridad para el uso de servicios en la nube; 5.19/5.20 Proveedores</t>
  </si>
  <si>
    <t>CCN-STIC 810, 823, 884, 804/808</t>
  </si>
  <si>
    <t>R1 Detección basada en reglas
R2 Procedimientos de respuesta</t>
  </si>
  <si>
    <t>APLICA: medida exigida para la categoría ALTA del sistema (afecta a todas las dimensiones). Exigencia: '+ R1 + R2'. Riesgos tratados según AR-2026-01. CCN-STIC 808: 2 requisitos de verificación (1 esenciales).</t>
  </si>
  <si>
    <t>Detección de intrusión con reglas actualizadas (R1) y procedimientos de respuesta (R2) integrados en PRO-INC-01; revisión mensual de reglas y falsos positivos.</t>
  </si>
  <si>
    <t>IDS/IPS de red (producto CPSTIC), NDR, EDR con detección basada en reglas y comportamiento; honeypots internos; alertas al SOC con playbooks.</t>
  </si>
  <si>
    <t>Arquitectura de detección DET-01; informes mensuales del SOC</t>
  </si>
  <si>
    <t>8.16 Actividades de monitorización; 8.20 Seguridad de redes; 8.15 Registro</t>
  </si>
  <si>
    <t>CCN-STIC 815, 817, 804/808</t>
  </si>
  <si>
    <t>R1 Efectividad del sistema de gestión de incidentes
R2 Eficiencia del sistema de gestión de la seguridad</t>
  </si>
  <si>
    <t>APLICA: medida exigida para la categoría ALTA del sistema (afecta a todas las dimensiones). Exigencia: '+ R1 + R2'. Riesgos tratados según AR-2026-01. CCN-STIC 808: 2 requisitos de verificación (0 esenciales).</t>
  </si>
  <si>
    <t>Sistema de métricas (CCN-STIC 815): grado de implantación de medidas, efectividad de la gestión de incidentes (R1: tiempo de detección, contención y resolución, reincidencia), eficiencia del SGSI (R2: recursos, coste por incidente, cumplimiento de PTR); reporte trimestral al CSI e INES anual.</t>
  </si>
  <si>
    <t>Cuadro de mando en RiskHub/Power BI con datos del SIEM e ITSM.</t>
  </si>
  <si>
    <t>MET-2026-Q1..Q3; informe INES 2025</t>
  </si>
  <si>
    <t>Cl. 9.1 Seguimiento, medición, análisis y evaluación; 5.36 Cumplimiento de políticas</t>
  </si>
  <si>
    <t>R1 Cifrado del disco
R2 Entornos protegidos</t>
  </si>
  <si>
    <t>APLICA: medida exigida para la categoría ALTA del sistema (afecta a todas las dimensiones). Exigencia: '+ R1 + R2'. Riesgos tratados según AR-2026-01. CCN-STIC 808: 7 requisitos de verificación (4 esenciales).</t>
  </si>
  <si>
    <t>Norma de dispositivos móviles NOR-03: inventario, autorización, protección fuera de las instalaciones, comunicación inmediata de pérdida/robo, limitación de la información almacenada; cifrado de disco (R1); entornos protegidos (R2) para acceso remoto a información ALTA.</t>
  </si>
  <si>
    <t>MDM/UEM con borrado remoto; cifrado completo de disco (BitLocker con TPM + PIN / FileVault) con claves en escrow; VPN always-on; acceso a información ALTA sólo mediante escritorio virtual (VDI) sin persistencia local (R2).</t>
  </si>
  <si>
    <t>NOR-03; consola MDM (cobertura 100 %); REG-PERD-DISP</t>
  </si>
  <si>
    <t>8.1 Dispositivos de usuario; 7.9 Activos fuera de las instalaciones; 6.7 Trabajo remoto; 8.24 Criptografía</t>
  </si>
  <si>
    <t>R1 Mantenimiento regular de la configuración
R2 Responsabilidad de la configuración
R3 Copias de seguridad</t>
  </si>
  <si>
    <t>APLICA: medida exigida para la categoría ALTA del sistema (afecta a todas las dimensiones). Exigencia: '+ R1 + R2 + R3'. Riesgos tratados según AR-2026-01. CCN-STIC 808: 13 requisitos de verificación (5 esenciales).</t>
  </si>
  <si>
    <t>Gestión continua de la configuración de seguridad (PRO-CFG-02): mantenimiento regular (R1), responsable designado por plataforma (R2), copias de seguridad de configuraciones (R3); revisión ante cambios, incidentes y vulnerabilidades.</t>
  </si>
  <si>
    <t>Gestión de configuración con Ansible/GitOps (configuración como código, control de versiones); backup diario de configuraciones de red/seguridad (Oxidized); detección de desviaciones.</t>
  </si>
  <si>
    <t>PRO-CFG-02; repositorio Git de configuración; REG-CFG-BK</t>
  </si>
  <si>
    <t>8.9 Gestión de la configuración; 8.32 Gestión de cambios; 8.13 Copias de seguridad</t>
  </si>
  <si>
    <t>R1 Notificación
R2 Detección y Respuesta
R3 Reconfiguración dinámica</t>
  </si>
  <si>
    <t>APLICA: medida exigida para la categoría ALTA del sistema (afecta a todas las dimensiones). Exigencia: '+ R1 + R2 + R3'. Riesgos tratados según AR-2026-01. CCN-STIC 808: 8 requisitos de verificación (2 esenciales).</t>
  </si>
  <si>
    <t>Proceso de gestión de incidentes PRO-INC-01 (CCN-STIC 817): detección, clasificación por taxonomía y peligrosidad, respuesta, notificación a las consejerías, al CCN-CERT (R1, obligatoria vía LUCIA), a la AEPD y afectados si procede; detección y respuesta (R2) por SOC 24x7; reconfiguración dinámica (R3) mediante SOAR/EDR.</t>
  </si>
  <si>
    <t>SIEM + SOAR; integración LUCIA/REYES; playbooks; aislamiento automático de hosts; cuadernos de crisis.</t>
  </si>
  <si>
    <t>PRO-INC-01; REG-INC-2026; evidencias de notificación LUCIA; ejercicio de mesa 05/2026</t>
  </si>
  <si>
    <t>5.24 Planificación gestión incidentes; 5.25 Evaluación de eventos; 5.26 Respuesta; 5.27 Aprender de incidentes; 5.28 Recogida de evidencias; 6.8 Notificación de eventos</t>
  </si>
  <si>
    <t>R1 Algoritmos y parámetros autorizados
R2 Dispositivos hardware
R3 Productos certificados</t>
  </si>
  <si>
    <t>APLICA: medida vinculada a la(s) dimensión(es) C; nivel exigido ALTO (máx(C=ALTO) = ALTO). Exigencia: '+ R1 + R2 + R3'. Riesgos tratados según AR-2026-01. CCN-STIC 808: 4 requisitos de verificación (0 esenciales).</t>
  </si>
  <si>
    <t>Protección de la confidencialidad de las comunicaciones: cifrado obligatorio fuera de la zona de confianza y en toda red no controlada; algoritmos y parámetros autorizados (R1) CCN-STIC 807; dispositivos hardware (R2) y productos certificados (R3) en las pasarelas de los CPD.</t>
  </si>
  <si>
    <t>TLS 1.2/1.3 con suites 807; IPsec en concentradores cualificados con HSM; VPN de acceso remoto con producto CPSTIC; cifrado WPA3-Enterprise; DNS-over-TLS.</t>
  </si>
  <si>
    <t>PRO-CRYPT-01; inventario de túneles; informe de cumplimiento TLS (escaneo mensual)</t>
  </si>
  <si>
    <t>8.24 Uso de criptografía; 8.20/8.21 Redes; 5.14 Transferencia de información</t>
  </si>
  <si>
    <t>R1 Sistema de gestión
R2 Sistema de gestión de la seguridad con mejora continua
R3 Validación de datos</t>
  </si>
  <si>
    <t>APLICA: medida exigida para la categoría ALTA del sistema (afecta a todas las dimensiones). Exigencia: '+ R1 + R2 + R3'. Riesgos tratados según AR-2026-01. CCN-STIC 808: 7 requisitos de verificación (3 esenciales).</t>
  </si>
  <si>
    <t>Documento de arquitectura de seguridad ARQ-02: instalaciones y puntos de acceso, inventario de sistemas y redes, esquema de líneas de defensa (perímetro, DMZ, segmentación, EDR), sistema de I+A (AD/LDAP + PKI + MFA); sistema de gestión (SGSI ISO 27001 certificado) con revisión y aprobación anual (R1, R2); controles técnicos internos de validación de datos en aplicaciones (R3).</t>
  </si>
  <si>
    <t>Diagramas de red con direccionamiento (custodiados como CONFIDENCIAL); firewalls de nueva generación en doble capa de fabricantes distintos; WAF; validación de entradas/salidas en el framework de desarrollo.</t>
  </si>
  <si>
    <t>ARQ-02 v3; certificado ISO 27001:2022 nº ES-27001-4521; PRO-DEV-03 validación de datos</t>
  </si>
  <si>
    <t>5.9 Inventario de activos; 8.20 Seguridad de redes; 8.22 Segregación de redes; 8.27 Arquitectura y principios de ingeniería segura; 8.26 Requisitos de seguridad de aplicaciones</t>
  </si>
  <si>
    <t>R1 Escaneo periódico
R2 Revisión preventiva del sistema
R3 Lista blanca
R4 Capacidad de respuesta en caso de incidente</t>
  </si>
  <si>
    <t>APLICA: medida exigida para la categoría ALTA del sistema (afecta a todas las dimensiones). Exigencia: '+ R1 + R2 + R3 + R4'. Riesgos tratados según AR-2026-01. CCN-STIC 808: 12 requisitos de verificación (4 esenciales).</t>
  </si>
  <si>
    <t>Política antimalware; escaneo periódico (R1); revisión preventiva del sistema tras incidentes o cambios relevantes (R2); lista blanca de aplicaciones en servidores y puestos críticos (R3); capacidad de respuesta 24x7 (R4) con el SOC.</t>
  </si>
  <si>
    <t>EDR/XDR (producto CPSTIC) en todos los endpoints y servidores; sandboxing de correo; application control (AppLocker/WDAC) en modo bloqueo; integración con SIEM/SOAR para contención automática.</t>
  </si>
  <si>
    <t>POL-MALW-01; consola EDR (cobertura 100 %); informes semanales SOC</t>
  </si>
  <si>
    <t>8.7 Protección contra malware; 8.19 Instalación de software; 8.16 Monitorización</t>
  </si>
  <si>
    <t>R1 Mínimo privilegio
R2 Metodología de desarrollo seguro
R3 Seguridad desde el diseño
R4 Datos de pruebas</t>
  </si>
  <si>
    <t>APLICA: medida exigida para la categoría ALTA del sistema (afecta a todas las dimensiones). Exigencia: '+ R1 + R2 + R3 + R4'. Riesgos tratados según AR-2026-01. CCN-STIC 808: 12 requisitos de verificación (0 esenciales).</t>
  </si>
  <si>
    <t>Metodología de desarrollo seguro (R2) documentada (PRO-DEV-01, basada en OWASP SAMM y CCN-STIC): seguridad desde el diseño (R3) con modelado de amenazas, requisitos de seguridad, revisión de código, gestión de vulnerabilidades del código; mínimo privilegio (R1) en la arquitectura de aplicaciones; datos de prueba (R4) sintéticos o enmascarados, nunca datos reales de producción; desarrollo subcontratado sujeto a los mismos requisitos.</t>
  </si>
  <si>
    <t>Pipeline CI/CD con SAST, SCA, DAST y secret scanning; pre-producción separada; enmascaramiento de datos automatizado; SBOM.</t>
  </si>
  <si>
    <t>Parcial</t>
  </si>
  <si>
    <t>PRO-DEV-01; informes SAST/DAST; modelos de amenazas por aplicación; PTR-2026-09</t>
  </si>
  <si>
    <t>8.25 Ciclo de vida de desarrollo seguro; 8.26 Requisitos de seguridad de aplicaciones; 8.27 Arquitectura segura; 8.28 Codificación segura; 8.30 Desarrollo externalizado; 8.4 Código fuente</t>
  </si>
  <si>
    <t>R2 Análisis de riesgos formal</t>
  </si>
  <si>
    <t>APLICA: medida exigida para la categoría ALTA del sistema (afecta a todas las dimensiones). Exigencia: '+ R2'. Riesgos tratados según AR-2026-01. CCN-STIC 808: 14 requisitos de verificación (5 esenciales).</t>
  </si>
  <si>
    <t>Metodología MAGERIT v3 con herramienta PILAR (licencia CCN). Análisis formal (R2): valoración cuantitativa/cualitativa de activos, amenazas del catálogo, salvaguardas y riesgo residual; criterios de aceptación aprobados por el CSI; revisión anual y ante cambios significativos.</t>
  </si>
  <si>
    <t>PILAR 7.x; exportación al Plan de Tratamiento (PTR-2026) y seguimiento en RiskHub.</t>
  </si>
  <si>
    <t>AR-2026-01 (informe PILAR); PTR-2026; ACTA-CSI-2026-02 (aceptación riesgo residual)</t>
  </si>
  <si>
    <t>Cl. 6.1.2 Evaluación de riesgos; Cl. 6.1.3 Tratamiento de riesgos; Cl. 8.2/8.3; 5.7 Inteligencia de amenazas</t>
  </si>
  <si>
    <t>R2 Auditorías de seguridad avanzada
R3 Protección de las cachés</t>
  </si>
  <si>
    <t>APLICA: medida exigida para la categoría ALTA del sistema (afecta a todas las dimensiones). Exigencia: '+ R2 + R3'. Riesgos tratados según AR-2026-01. CCN-STIC 808: 11 requisitos de verificación (6 esenciales).</t>
  </si>
  <si>
    <t>Protección de servicios web: análisis de vulnerabilidades y pentest anual (R1, incluido en R2); auditorías de seguridad avanzada (R2) con pruebas manuales OWASP y revisión de código de cambios mayores; protección de cachés (R3) evitando datos sensibles en cachés y CDN; prevención de manipulación de URL, cookies, inyección, escalada; autenticación de doble factor para accesos a información ALTA.</t>
  </si>
  <si>
    <t>WAF (CPSTIC) en modo bloqueo; cabeceras de seguridad; TLS 1.3; gestión de sesiones segura; cachés con Cache-Control: no-store para contenido autenticado; CDN sin cacheo de respuestas autenticadas; escaneo DAST continuo.</t>
  </si>
  <si>
    <t>Informe pentest 2026 (S-01, S-02, S-03); configuración WAF; PRO-WEB-01</t>
  </si>
  <si>
    <t>8.26 Requisitos de seguridad de aplicaciones; 8.29 Pruebas de seguridad; 8.8 Vulnerabilidades técnicas; 8.25 SDLC</t>
  </si>
  <si>
    <t>R1 Redes privadas virtuales
R2 Algoritmos y parámetros autorizados
R3 Dispositivos hardware
R4 Productos certificados</t>
  </si>
  <si>
    <t>APLICA: medida vinculada a la(s) dimensión(es) IA; nivel exigido ALTO (máx(I=ALTO, A=ALTO) = ALTO). Exigencia: '+ R1 + R2 + R3 + R4'. Riesgos tratados según AR-2026-01. CCN-STIC 808: 11 requisitos de verificación (2 esenciales).</t>
  </si>
  <si>
    <t>Protección de integridad y autenticidad: autenticación mutua de extremos, prevención de manipulación/inyección/secuestro; VPN (R1); algoritmos autorizados (R2); dispositivos hardware (R3) y productos certificados (R4) en los CPD; excepción compensada en el lado cloud.</t>
  </si>
  <si>
    <t>IPsec/IKEv2 con autenticación por certificado; mTLS entre servicios; firmado de mensajes en interconexiones (WS-Security/JWS); concentradores VPN CPSTIC con HSM.</t>
  </si>
  <si>
    <t>ARQ-02; MC-03; informes de auditoría de configuración 807</t>
  </si>
  <si>
    <t>8.24 Uso de criptografía; 8.20/8.21 Redes; 6.7 Trabajo remoto (VPN)</t>
  </si>
  <si>
    <t>R1 Correlación de eventos
R2 Análisis dinámico
R3 Ciberamenazas avanzadas
R4 Observatorios digitales
R5 Minería de datos
R6 Inspecciones de seguridad</t>
  </si>
  <si>
    <t>APLICA: medida exigida para la categoría ALTA del sistema (afecta a todas las dimensiones). Exigencia: '+ R1 + R2 + R3 + R4 + R5 + R6'. Riesgos tratados según AR-2026-01. CCN-STIC 808: 10 requisitos de verificación (1 esenciales).</t>
  </si>
  <si>
    <t>Vigilancia continua: correlación de eventos (R1), análisis dinámico de comportamiento (R2), suscripción a inteligencia de ciberamenazas avanzadas del CCN-CERT y proveedores (R3), observatorios digitales / vigilancia de marca y fuga de credenciales (R4), minería de datos sobre los registros (R5), inspecciones de seguridad periódicas: pentest anual, revisiones de configuración y ejercicio de red team bienal (R6).</t>
  </si>
  <si>
    <t>SIEM con UEBA; plataforma de threat intelligence (MISP) integrada con REYES; servicio de vigilancia digital; analítica sobre data lake de logs (en despliegue); escáner continuo de superficie de ataque.</t>
  </si>
  <si>
    <t>Contrato SOC; informes TI; informe pentest 2026; plan de despliegue analítica DL-01</t>
  </si>
  <si>
    <t>5.7 Inteligencia de amenazas; 8.16 Actividades de monitorización; 8.8 Vulnerabilidades técnicas</t>
  </si>
  <si>
    <t>Revisión anual (próxima 01/2027).</t>
  </si>
  <si>
    <t>APLICA: medida exigida para la categoría ALTA del sistema (afecta a todas las dimensiones). Exigencia: 'aplica'. Riesgos tratados según AR-2026-01. CCN-STIC 808: 10 requisitos de verificación (6 esenciales).</t>
  </si>
  <si>
    <t>Política de Seguridad de la Información PSI-01 v4 aprobada por el Consejo de Administración (30/01/2026) y adherida por las tres consejerías; define misión, marco legal (ENS, RGPD/LOPDGDD, LGT, Ley 39/2015, contratos), roles (Resp. Información/Servicio/Sistema/Seguridad, DPD), Comité de Seguridad, estructura documental y revisión anual.</t>
  </si>
  <si>
    <t>Publicación en la intranet con control de versiones (DMS); firma electrónica del acta de aprobación.</t>
  </si>
  <si>
    <t>PSI-01; ACTA-CA-2026-01; REG-COM-04 (difusión); nombramientos NOM-01..05</t>
  </si>
  <si>
    <t>5.1 Políticas de seguridad de la información; 5.2 Roles y responsabilidades; 5.4 Responsabilidades de la dirección; 5.31 Requisitos legales y contractuales; Cl. 5.2 Política</t>
  </si>
  <si>
    <t>Ver medida compensatoria MC-01 (sustitución 2027, PTR-2026-11).</t>
  </si>
  <si>
    <t>Política de uso de productos cualificados (CPSTIC) en op.pl.3; inventario de componentes de seguridad con su estado de cualificación; plan de sustitución.</t>
  </si>
  <si>
    <t>Cortafuegos, VPN, EDR, HSM y cifradores del CPD principal son productos cualificados CPSTIC; excepción documentada para el clúster de cortafuegos del CPD de respaldo.</t>
  </si>
  <si>
    <t>INV-SEC-01 (componentes de seguridad y cualificación); MC-01</t>
  </si>
  <si>
    <t>5.21 Seguridad en la cadena de suministro TIC; 8.9 Gestión de la configuración (sin equivalente directo – CPSTIC)</t>
  </si>
  <si>
    <t>Ver medida compensatoria MC-02.</t>
  </si>
  <si>
    <t>Evaluación del riesgo de inundación; medidas compensatorias documentadas para el CPD principal (planta baja); CPD de respaldo en planta 2 sin riesgo.</t>
  </si>
  <si>
    <t>Suelo técnico elevado, sensores de agua, válvulas de corte, ausencia de conducciones sobre la sala.</t>
  </si>
  <si>
    <t>MC-02; informe de riesgo hidráulico; REG-MANT-SENS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</si>
</sst>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1.0"/>
      <color theme="1"/>
      <name val="Calibri"/>
      <scheme val="minor"/>
    </font>
    <font>
      <b/>
      <sz val="16.0"/>
      <color rgb="FF1C1C1C"/>
      <name val="Arial"/>
    </font>
    <font>
      <b/>
      <sz val="9.0"/>
      <color rgb="FFFFFFFF"/>
      <name val="Arial"/>
    </font>
    <font>
      <b/>
      <sz val="11.0"/>
      <color rgb="FF1C1C1C"/>
      <name val="Arial"/>
    </font>
    <font>
      <b/>
      <sz val="9.0"/>
      <color theme="1"/>
      <name val="Arial"/>
    </font>
    <font>
      <sz val="9.0"/>
      <color theme="1"/>
      <name val="Arial"/>
    </font>
    <font>
      <i/>
      <sz val="9.0"/>
      <color rgb="FF7F7F7F"/>
      <name val="Arial"/>
    </font>
    <font>
      <i/>
      <sz val="9.0"/>
      <color theme="1"/>
      <name val="Arial"/>
    </font>
    <font/>
    <font>
      <b/>
      <sz val="10.0"/>
      <color rgb="FFFFFFFF"/>
      <name val="Arial"/>
    </font>
  </fonts>
  <fills count="13">
    <fill>
      <patternFill patternType="none"/>
    </fill>
    <fill>
      <patternFill patternType="lightGray"/>
    </fill>
    <fill>
      <patternFill patternType="solid">
        <fgColor rgb="FF1C1C1C"/>
        <bgColor rgb="FF1C1C1C"/>
      </patternFill>
    </fill>
    <fill>
      <patternFill patternType="solid">
        <fgColor rgb="FFF3F3F3"/>
        <bgColor rgb="FFF3F3F3"/>
      </patternFill>
    </fill>
    <fill>
      <patternFill patternType="solid">
        <fgColor rgb="FFF4B084"/>
        <bgColor rgb="FFF4B084"/>
      </patternFill>
    </fill>
    <fill>
      <patternFill patternType="solid">
        <fgColor rgb="FFFFE699"/>
        <bgColor rgb="FFFFE699"/>
      </patternFill>
    </fill>
    <fill>
      <patternFill patternType="solid">
        <fgColor rgb="FFE2EFDA"/>
        <bgColor rgb="FFE2EFDA"/>
      </patternFill>
    </fill>
    <fill>
      <patternFill patternType="solid">
        <fgColor rgb="FFC6E0B4"/>
        <bgColor rgb="FFC6E0B4"/>
      </patternFill>
    </fill>
    <fill>
      <patternFill patternType="solid">
        <fgColor rgb="FFFFFF99"/>
        <bgColor rgb="FFFFFF99"/>
      </patternFill>
    </fill>
    <fill>
      <patternFill patternType="solid">
        <fgColor rgb="FFD9D9D9"/>
        <bgColor rgb="FFD9D9D9"/>
      </patternFill>
    </fill>
    <fill>
      <patternFill patternType="solid">
        <fgColor rgb="FFFFF2CC"/>
        <bgColor rgb="FFFFF2CC"/>
      </patternFill>
    </fill>
    <fill>
      <patternFill patternType="solid">
        <fgColor rgb="FFF8CBAD"/>
        <bgColor rgb="FFF8CBAD"/>
      </patternFill>
    </fill>
    <fill>
      <patternFill patternType="solid">
        <fgColor rgb="FF7F7F7F"/>
        <bgColor rgb="FF7F7F7F"/>
      </patternFill>
    </fill>
  </fills>
  <borders count="8">
    <border/>
    <border>
      <left style="thin">
        <color rgb="FFBFBFBF"/>
      </left>
      <right style="thin">
        <color rgb="FFBFBFBF"/>
      </right>
      <top style="thin">
        <color rgb="FFBFBFBF"/>
      </top>
      <bottom style="thin">
        <color rgb="FFBFBFBF"/>
      </bottom>
    </border>
    <border>
      <left/>
      <top/>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0" fillId="0" fontId="3" numFmtId="0" xfId="0" applyAlignment="1" applyFont="1">
      <alignment shrinkToFit="0" vertical="bottom" wrapText="0"/>
    </xf>
    <xf borderId="1" fillId="3" fontId="4" numFmtId="0" xfId="0" applyAlignment="1" applyBorder="1" applyFill="1" applyFont="1">
      <alignment shrinkToFit="0" vertical="top" wrapText="1"/>
    </xf>
    <xf borderId="1" fillId="0" fontId="5" numFmtId="0" xfId="0" applyAlignment="1" applyBorder="1" applyFont="1">
      <alignment shrinkToFit="0" vertical="top" wrapText="1"/>
    </xf>
    <xf borderId="0" fillId="0" fontId="6" numFmtId="0" xfId="0" applyAlignment="1" applyFont="1">
      <alignment shrinkToFit="0" vertical="bottom" wrapText="0"/>
    </xf>
    <xf borderId="0" fillId="0" fontId="7" numFmtId="0" xfId="0" applyAlignment="1" applyFont="1">
      <alignment shrinkToFit="0" vertical="top" wrapText="1"/>
    </xf>
    <xf borderId="1" fillId="2" fontId="2" numFmtId="0" xfId="0" applyAlignment="1" applyBorder="1" applyFill="1" applyFont="1">
      <alignment horizontal="center" readingOrder="0" shrinkToFit="0" vertical="center" wrapText="1"/>
    </xf>
    <xf borderId="1" fillId="0" fontId="4" numFmtId="0" xfId="0" applyAlignment="1" applyBorder="1" applyFont="1">
      <alignment shrinkToFit="0" vertical="top" wrapText="1"/>
    </xf>
    <xf borderId="1" fillId="4" fontId="5" numFmtId="0" xfId="0" applyAlignment="1" applyBorder="1" applyFill="1" applyFont="1">
      <alignment horizontal="center" readingOrder="0" shrinkToFit="0" vertical="center" wrapText="1"/>
    </xf>
    <xf borderId="2" fillId="0" fontId="5" numFmtId="0" xfId="0" applyAlignment="1" applyBorder="1" applyFont="1">
      <alignment shrinkToFit="0" vertical="top" wrapText="1"/>
    </xf>
    <xf borderId="3" fillId="2" fontId="2" numFmtId="0" xfId="0" applyAlignment="1" applyBorder="1" applyFill="1" applyFont="1">
      <alignment shrinkToFit="0" vertical="bottom" wrapText="0"/>
    </xf>
    <xf borderId="1" fillId="4" fontId="5" numFmtId="0" xfId="0" applyAlignment="1" applyBorder="1" applyFill="1" applyFont="1">
      <alignment horizontal="center" shrinkToFit="0" vertical="center" wrapText="1"/>
    </xf>
    <xf borderId="0" fillId="0" fontId="4" numFmtId="0" xfId="0" applyAlignment="1" applyFont="1">
      <alignment shrinkToFit="0" vertical="top" wrapText="1"/>
    </xf>
    <xf borderId="1" fillId="5" fontId="5" numFmtId="0" xfId="0" applyAlignment="1" applyBorder="1" applyFill="1" applyFont="1">
      <alignment horizontal="center" shrinkToFit="0" vertical="center" wrapText="1"/>
    </xf>
    <xf borderId="0" fillId="0" fontId="5" numFmtId="0" xfId="0" applyAlignment="1" applyFont="1">
      <alignment shrinkToFit="0" vertical="top" wrapText="1"/>
    </xf>
    <xf borderId="0" fillId="6" fontId="5" numFmtId="0" xfId="0" applyAlignment="1" applyFill="1" applyFont="1">
      <alignment horizontal="center" shrinkToFit="0" vertical="center" wrapText="1"/>
    </xf>
    <xf borderId="1" fillId="7" fontId="5" numFmtId="0" xfId="0" applyAlignment="1" applyBorder="1" applyFill="1" applyFont="1">
      <alignment horizontal="center" shrinkToFit="0" vertical="center" wrapText="1"/>
    </xf>
    <xf borderId="0" fillId="4" fontId="4" numFmtId="0" xfId="0" applyAlignment="1" applyFill="1" applyFont="1">
      <alignment horizontal="center" shrinkToFit="0" vertical="center" wrapText="1"/>
    </xf>
    <xf borderId="0" fillId="0" fontId="4" numFmtId="0" xfId="0" applyAlignment="1" applyFont="1">
      <alignment horizontal="center" shrinkToFit="0" vertical="center" wrapText="1"/>
    </xf>
    <xf borderId="1" fillId="0" fontId="4" numFmtId="0" xfId="0" applyAlignment="1" applyBorder="1" applyFont="1">
      <alignment horizontal="center" shrinkToFit="0" vertical="center" wrapText="1"/>
    </xf>
    <xf borderId="0" fillId="6" fontId="4" numFmtId="0" xfId="0" applyAlignment="1" applyFill="1" applyFont="1">
      <alignment horizontal="center" shrinkToFit="0" vertical="center" wrapText="1"/>
    </xf>
    <xf borderId="1" fillId="8" fontId="4" numFmtId="0" xfId="0" applyAlignment="1" applyBorder="1" applyFill="1" applyFont="1">
      <alignment horizontal="center" shrinkToFit="0" vertical="center" wrapText="1"/>
    </xf>
    <xf borderId="0" fillId="6" fontId="5" numFmtId="0" xfId="0" applyAlignment="1" applyFill="1" applyFont="1">
      <alignment shrinkToFit="0" vertical="top" wrapText="1"/>
    </xf>
    <xf borderId="0" fillId="0" fontId="5" numFmtId="9" xfId="0" applyAlignment="1" applyFont="1" applyNumberFormat="1">
      <alignment horizontal="center" shrinkToFit="0" vertical="center" wrapText="1"/>
    </xf>
    <xf borderId="1" fillId="6" fontId="5" numFmtId="0" xfId="0" applyAlignment="1" applyBorder="1" applyFill="1" applyFont="1">
      <alignment horizontal="center" shrinkToFit="0" vertical="center" wrapText="1"/>
    </xf>
    <xf borderId="4" fillId="4" fontId="4" numFmtId="0" xfId="0" applyAlignment="1" applyBorder="1" applyFill="1" applyFont="1">
      <alignment horizontal="center" shrinkToFit="0" vertical="center" wrapText="1"/>
    </xf>
    <xf borderId="5" fillId="0" fontId="8" numFmtId="0" xfId="0" applyBorder="1" applyFont="1"/>
    <xf borderId="1" fillId="4" fontId="4" numFmtId="0" xfId="0" applyAlignment="1" applyBorder="1" applyFill="1" applyFont="1">
      <alignment horizontal="center" shrinkToFit="0" vertical="center" wrapText="1"/>
    </xf>
    <xf borderId="6" fillId="0" fontId="8" numFmtId="0" xfId="0" applyBorder="1" applyFont="1"/>
    <xf borderId="1" fillId="6" fontId="4" numFmtId="0" xfId="0" applyAlignment="1" applyBorder="1" applyFill="1" applyFont="1">
      <alignment horizontal="center" shrinkToFit="0" vertical="center" wrapText="1"/>
    </xf>
    <xf borderId="1" fillId="6" fontId="5" numFmtId="0" xfId="0" applyAlignment="1" applyBorder="1" applyFill="1" applyFont="1">
      <alignment shrinkToFit="0" vertical="top" wrapText="1"/>
    </xf>
    <xf borderId="1" fillId="0" fontId="5" numFmtId="9" xfId="0" applyAlignment="1" applyBorder="1" applyFont="1" applyNumberFormat="1">
      <alignment horizontal="center" shrinkToFit="0" vertical="center" wrapText="1"/>
    </xf>
    <xf borderId="1" fillId="9" fontId="5" numFmtId="0" xfId="0" applyAlignment="1" applyBorder="1" applyFill="1" applyFont="1">
      <alignment shrinkToFit="0" vertical="top" wrapText="1"/>
    </xf>
    <xf borderId="1" fillId="9" fontId="5" numFmtId="0" xfId="0" applyAlignment="1" applyBorder="1" applyFill="1" applyFont="1">
      <alignment horizontal="center" shrinkToFit="0" vertical="center" wrapText="1"/>
    </xf>
    <xf borderId="1" fillId="10" fontId="5" numFmtId="0" xfId="0" applyAlignment="1" applyBorder="1" applyFill="1" applyFont="1">
      <alignment shrinkToFit="0" vertical="top" wrapText="1"/>
    </xf>
    <xf borderId="0" fillId="9" fontId="5" numFmtId="0" xfId="0" applyAlignment="1" applyFill="1" applyFont="1">
      <alignment horizontal="center" shrinkToFit="0" vertical="center" wrapText="1"/>
    </xf>
    <xf borderId="1" fillId="0" fontId="5" numFmtId="0" xfId="0" applyAlignment="1" applyBorder="1" applyFont="1">
      <alignment horizontal="center" shrinkToFit="0" vertical="center" wrapText="1"/>
    </xf>
    <xf borderId="1" fillId="0" fontId="5" numFmtId="164" xfId="0" applyAlignment="1" applyBorder="1" applyFont="1" applyNumberFormat="1">
      <alignment horizontal="center" shrinkToFit="0" vertical="center" wrapText="1"/>
    </xf>
    <xf borderId="0" fillId="0" fontId="7" numFmtId="0" xfId="0" applyAlignment="1" applyFont="1">
      <alignment shrinkToFit="0" vertical="bottom" wrapText="0"/>
    </xf>
    <xf borderId="1" fillId="4" fontId="4" numFmtId="0" xfId="0" applyAlignment="1" applyBorder="1" applyFill="1" applyFont="1">
      <alignment shrinkToFit="0" vertical="top" wrapText="1"/>
    </xf>
    <xf borderId="1" fillId="5" fontId="4" numFmtId="0" xfId="0" applyAlignment="1" applyBorder="1" applyFill="1" applyFont="1">
      <alignment shrinkToFit="0" vertical="top" wrapText="1"/>
    </xf>
    <xf borderId="1" fillId="7" fontId="4" numFmtId="0" xfId="0" applyAlignment="1" applyBorder="1" applyFill="1" applyFont="1">
      <alignment shrinkToFit="0" vertical="top" wrapText="1"/>
    </xf>
    <xf borderId="1" fillId="6" fontId="4" numFmtId="0" xfId="0" applyAlignment="1" applyBorder="1" applyFill="1" applyFont="1">
      <alignment shrinkToFit="0" vertical="top" wrapText="1"/>
    </xf>
    <xf borderId="1" fillId="10" fontId="4" numFmtId="0" xfId="0" applyAlignment="1" applyBorder="1" applyFill="1" applyFont="1">
      <alignment shrinkToFit="0" vertical="top" wrapText="1"/>
    </xf>
    <xf borderId="1" fillId="11" fontId="4" numFmtId="0" xfId="0" applyAlignment="1" applyBorder="1" applyFill="1" applyFont="1">
      <alignment shrinkToFit="0" vertical="top" wrapText="1"/>
    </xf>
    <xf borderId="1" fillId="8" fontId="4" numFmtId="0" xfId="0" applyAlignment="1" applyBorder="1" applyFill="1" applyFont="1">
      <alignment shrinkToFit="0" vertical="top" wrapText="1"/>
    </xf>
    <xf borderId="1" fillId="5" fontId="4" numFmtId="0" xfId="0" applyAlignment="1" applyBorder="1" applyFill="1" applyFont="1">
      <alignment horizontal="center" shrinkToFit="0" vertical="center" wrapText="1"/>
    </xf>
    <xf borderId="0" fillId="5" fontId="4" numFmtId="0" xfId="0" applyAlignment="1" applyFill="1" applyFont="1">
      <alignment horizontal="center" shrinkToFit="0" vertical="center" wrapText="1"/>
    </xf>
    <xf borderId="0" fillId="11" fontId="4" numFmtId="0" xfId="0" applyAlignment="1" applyFill="1" applyFont="1">
      <alignment horizontal="center" shrinkToFit="0" vertical="center" wrapText="1"/>
    </xf>
    <xf borderId="0" fillId="9" fontId="5" numFmtId="0" xfId="0" applyAlignment="1" applyFill="1" applyFont="1">
      <alignment shrinkToFit="0" vertical="top" wrapText="1"/>
    </xf>
    <xf borderId="2" fillId="2" fontId="9" numFmtId="0" xfId="0" applyAlignment="1" applyBorder="1" applyFill="1" applyFont="1">
      <alignment shrinkToFit="0" vertical="bottom" wrapText="0"/>
    </xf>
    <xf borderId="7" fillId="0" fontId="8" numFmtId="0" xfId="0" applyBorder="1" applyFont="1"/>
    <xf borderId="4" fillId="12" fontId="9" numFmtId="0" xfId="0" applyAlignment="1" applyBorder="1" applyFill="1" applyFont="1">
      <alignment shrinkToFit="0" vertical="bottom" wrapText="0"/>
    </xf>
    <xf borderId="2" fillId="12" fontId="9" numFmtId="0" xfId="0" applyAlignment="1" applyBorder="1" applyFill="1" applyFont="1">
      <alignment shrinkToFit="0" vertical="bottom" wrapText="0"/>
    </xf>
    <xf borderId="4" fillId="2" fontId="9" numFmtId="0" xfId="0" applyAlignment="1" applyBorder="1" applyFill="1" applyFont="1">
      <alignment shrinkToFit="0" vertical="bottom" wrapText="0"/>
    </xf>
    <xf borderId="1" fillId="10" fontId="4" numFmtId="0" xfId="0" applyAlignment="1" applyBorder="1" applyFill="1" applyFont="1">
      <alignment horizontal="center" shrinkToFit="0" vertical="center" wrapText="1"/>
    </xf>
    <xf borderId="0" fillId="10" fontId="4" numFmtId="0" xfId="0" applyAlignment="1" applyFill="1" applyFont="1">
      <alignment horizontal="center" shrinkToFit="0" vertical="center" wrapText="1"/>
    </xf>
    <xf borderId="0" fillId="10" fontId="5" numFmtId="0" xfId="0" applyAlignment="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1C1C"/>
    <pageSetUpPr/>
  </sheetPr>
  <sheetViews>
    <sheetView showGridLines="0" workbookViewId="0"/>
  </sheetViews>
  <sheetFormatPr customHeight="1" defaultColWidth="14.43" defaultRowHeight="15.0"/>
  <cols>
    <col customWidth="1" min="1" max="1" width="4.0"/>
    <col customWidth="1" min="2" max="2" width="34.0"/>
    <col customWidth="1" min="3" max="3" width="90.0"/>
    <col customWidth="1" min="4" max="6" width="8.71"/>
  </cols>
  <sheetData>
    <row r="2">
      <c r="B2" s="1" t="s">
        <v>0</v>
      </c>
    </row>
    <row r="3">
      <c r="B3" s="3" t="s">
        <v>2</v>
      </c>
    </row>
    <row r="4">
      <c r="B4" s="6" t="s">
        <v>5</v>
      </c>
    </row>
    <row r="6">
      <c r="B6" s="4" t="s">
        <v>10</v>
      </c>
      <c r="C6" s="5" t="s">
        <v>13</v>
      </c>
    </row>
    <row r="7">
      <c r="B7" s="4" t="s">
        <v>15</v>
      </c>
      <c r="C7" s="5" t="s">
        <v>17</v>
      </c>
    </row>
    <row r="8">
      <c r="B8" s="4" t="s">
        <v>19</v>
      </c>
      <c r="C8" s="5" t="s">
        <v>20</v>
      </c>
    </row>
    <row r="9">
      <c r="B9" s="4" t="s">
        <v>22</v>
      </c>
      <c r="C9" s="5" t="s">
        <v>24</v>
      </c>
    </row>
    <row r="10">
      <c r="B10" s="4" t="s">
        <v>27</v>
      </c>
      <c r="C10" s="5" t="s">
        <v>28</v>
      </c>
    </row>
    <row r="11">
      <c r="B11" s="4" t="s">
        <v>32</v>
      </c>
      <c r="C11" s="5" t="s">
        <v>33</v>
      </c>
    </row>
    <row r="12">
      <c r="B12" s="4" t="s">
        <v>37</v>
      </c>
      <c r="C12" s="5" t="s">
        <v>39</v>
      </c>
    </row>
    <row r="13">
      <c r="B13" s="4" t="s">
        <v>43</v>
      </c>
      <c r="C13" s="5" t="s">
        <v>45</v>
      </c>
    </row>
    <row r="14">
      <c r="B14" s="4" t="s">
        <v>47</v>
      </c>
      <c r="C14" s="5" t="s">
        <v>49</v>
      </c>
    </row>
    <row r="15">
      <c r="B15" s="4" t="s">
        <v>54</v>
      </c>
      <c r="C15" s="5" t="s">
        <v>57</v>
      </c>
    </row>
    <row r="16">
      <c r="B16" s="4" t="s">
        <v>60</v>
      </c>
      <c r="C16" s="5" t="s">
        <v>62</v>
      </c>
    </row>
    <row r="17">
      <c r="B17" s="4" t="s">
        <v>65</v>
      </c>
      <c r="C17" s="5" t="s">
        <v>66</v>
      </c>
    </row>
    <row r="18">
      <c r="B18" s="4" t="s">
        <v>67</v>
      </c>
      <c r="C18" s="5" t="s">
        <v>68</v>
      </c>
    </row>
    <row r="19" ht="60.0" customHeight="1">
      <c r="B19" s="4" t="s">
        <v>69</v>
      </c>
      <c r="C19" s="5" t="s">
        <v>71</v>
      </c>
    </row>
    <row r="21" ht="15.75" customHeight="1">
      <c r="B21" s="3" t="s">
        <v>73</v>
      </c>
    </row>
    <row r="22" ht="15.75" customHeight="1">
      <c r="B22" s="9" t="s">
        <v>76</v>
      </c>
      <c r="C22" s="5" t="s">
        <v>86</v>
      </c>
    </row>
    <row r="23" ht="15.75" customHeight="1">
      <c r="B23" s="9" t="s">
        <v>90</v>
      </c>
      <c r="C23" s="5" t="s">
        <v>91</v>
      </c>
    </row>
    <row r="24" ht="15.75" customHeight="1">
      <c r="B24" s="9" t="s">
        <v>96</v>
      </c>
      <c r="C24" s="5" t="s">
        <v>99</v>
      </c>
    </row>
    <row r="25" ht="15.75" customHeight="1">
      <c r="B25" s="9" t="s">
        <v>103</v>
      </c>
      <c r="C25" s="5" t="s">
        <v>104</v>
      </c>
    </row>
    <row r="26" ht="15.75" customHeight="1">
      <c r="B26" s="9" t="s">
        <v>105</v>
      </c>
      <c r="C26" s="5" t="s">
        <v>107</v>
      </c>
    </row>
    <row r="27" ht="15.75" customHeight="1">
      <c r="B27" s="9" t="s">
        <v>108</v>
      </c>
      <c r="C27" s="5" t="s">
        <v>109</v>
      </c>
    </row>
    <row r="28" ht="15.75" customHeight="1">
      <c r="B28" s="9" t="s">
        <v>110</v>
      </c>
      <c r="C28" s="5" t="s">
        <v>111</v>
      </c>
    </row>
    <row r="29" ht="15.75" customHeight="1">
      <c r="B29" s="9" t="s">
        <v>112</v>
      </c>
      <c r="C29" s="5" t="s">
        <v>113</v>
      </c>
    </row>
    <row r="30" ht="15.75" customHeight="1"/>
    <row r="31" ht="15.75" customHeight="1">
      <c r="B31" s="3" t="s">
        <v>114</v>
      </c>
    </row>
    <row r="32" ht="15.75" customHeight="1">
      <c r="B32" s="12" t="s">
        <v>115</v>
      </c>
      <c r="C32" s="12" t="s">
        <v>118</v>
      </c>
    </row>
    <row r="33" ht="15.75" customHeight="1">
      <c r="B33" s="5" t="s">
        <v>119</v>
      </c>
      <c r="C33" s="5" t="s">
        <v>120</v>
      </c>
    </row>
    <row r="34" ht="15.75" customHeight="1">
      <c r="B34" s="5" t="s">
        <v>121</v>
      </c>
      <c r="C34" s="5" t="s">
        <v>122</v>
      </c>
    </row>
    <row r="35" ht="15.75" customHeight="1">
      <c r="B35" s="5" t="s">
        <v>123</v>
      </c>
      <c r="C35" s="5" t="s">
        <v>124</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130.0"/>
    <col customWidth="1" min="3" max="6" width="8.71"/>
  </cols>
  <sheetData>
    <row r="1" ht="31.5" customHeight="1">
      <c r="A1" s="2" t="s">
        <v>1</v>
      </c>
      <c r="B1" s="2" t="s">
        <v>3</v>
      </c>
    </row>
    <row r="2">
      <c r="A2" s="4" t="s">
        <v>4</v>
      </c>
      <c r="B2" s="5" t="s">
        <v>6</v>
      </c>
    </row>
    <row r="3">
      <c r="A3" s="4" t="s">
        <v>7</v>
      </c>
      <c r="B3" s="5" t="s">
        <v>8</v>
      </c>
    </row>
    <row r="4">
      <c r="A4" s="4" t="s">
        <v>9</v>
      </c>
      <c r="B4" s="5" t="s">
        <v>11</v>
      </c>
    </row>
    <row r="5">
      <c r="A5" s="4" t="s">
        <v>12</v>
      </c>
      <c r="B5" s="5" t="s">
        <v>16</v>
      </c>
    </row>
    <row r="6">
      <c r="A6" s="4" t="s">
        <v>18</v>
      </c>
      <c r="B6" s="5" t="s">
        <v>21</v>
      </c>
    </row>
    <row r="7">
      <c r="A7" s="4" t="s">
        <v>25</v>
      </c>
      <c r="B7" s="5" t="s">
        <v>30</v>
      </c>
    </row>
    <row r="8">
      <c r="A8" s="4" t="s">
        <v>34</v>
      </c>
      <c r="B8" s="5" t="s">
        <v>36</v>
      </c>
    </row>
    <row r="9">
      <c r="A9" s="4" t="s">
        <v>41</v>
      </c>
      <c r="B9" s="5" t="s">
        <v>44</v>
      </c>
    </row>
    <row r="10">
      <c r="A10" s="4" t="s">
        <v>48</v>
      </c>
      <c r="B10" s="5" t="s">
        <v>52</v>
      </c>
    </row>
    <row r="11">
      <c r="A11" s="4" t="s">
        <v>56</v>
      </c>
      <c r="B11" s="5" t="s">
        <v>59</v>
      </c>
    </row>
    <row r="12">
      <c r="A12" s="4" t="s">
        <v>63</v>
      </c>
      <c r="B12" s="5" t="s">
        <v>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7.0"/>
    <col customWidth="1" min="3" max="3" width="44.0"/>
    <col customWidth="1" min="4" max="4" width="30.0"/>
    <col customWidth="1" min="5" max="9" width="8.0"/>
    <col customWidth="1" min="10" max="10" width="90.0"/>
  </cols>
  <sheetData>
    <row r="1">
      <c r="A1" s="3" t="s">
        <v>14</v>
      </c>
    </row>
    <row r="2" ht="31.5" customHeight="1">
      <c r="A2" s="7" t="s">
        <v>26</v>
      </c>
    </row>
    <row r="4" ht="31.5" customHeight="1">
      <c r="A4" s="2" t="s">
        <v>70</v>
      </c>
      <c r="B4" s="2" t="s">
        <v>72</v>
      </c>
      <c r="C4" s="2" t="s">
        <v>74</v>
      </c>
      <c r="D4" s="2" t="s">
        <v>75</v>
      </c>
      <c r="E4" s="2" t="s">
        <v>77</v>
      </c>
      <c r="F4" s="2" t="s">
        <v>78</v>
      </c>
      <c r="G4" s="2" t="s">
        <v>80</v>
      </c>
      <c r="H4" s="2" t="s">
        <v>81</v>
      </c>
      <c r="I4" s="2" t="s">
        <v>82</v>
      </c>
      <c r="J4" s="2" t="s">
        <v>84</v>
      </c>
    </row>
    <row r="5">
      <c r="A5" s="5" t="s">
        <v>88</v>
      </c>
      <c r="B5" s="5" t="s">
        <v>92</v>
      </c>
      <c r="C5" s="5" t="s">
        <v>94</v>
      </c>
      <c r="D5" s="5" t="s">
        <v>97</v>
      </c>
      <c r="E5" s="10" t="s">
        <v>101</v>
      </c>
      <c r="F5" s="13" t="s">
        <v>116</v>
      </c>
      <c r="G5" s="13" t="s">
        <v>116</v>
      </c>
      <c r="H5" s="13" t="s">
        <v>116</v>
      </c>
      <c r="I5" s="15" t="s">
        <v>125</v>
      </c>
      <c r="J5" s="5" t="s">
        <v>127</v>
      </c>
    </row>
    <row r="6">
      <c r="A6" s="5" t="s">
        <v>88</v>
      </c>
      <c r="B6" s="5" t="s">
        <v>129</v>
      </c>
      <c r="C6" s="5" t="s">
        <v>130</v>
      </c>
      <c r="D6" s="5" t="s">
        <v>132</v>
      </c>
      <c r="E6" s="15" t="s">
        <v>125</v>
      </c>
      <c r="F6" s="13" t="s">
        <v>116</v>
      </c>
      <c r="G6" s="13" t="s">
        <v>116</v>
      </c>
      <c r="H6" s="15" t="s">
        <v>125</v>
      </c>
      <c r="I6" s="15" t="s">
        <v>125</v>
      </c>
      <c r="J6" s="5" t="s">
        <v>133</v>
      </c>
    </row>
    <row r="7">
      <c r="A7" s="5" t="s">
        <v>88</v>
      </c>
      <c r="B7" s="5" t="s">
        <v>134</v>
      </c>
      <c r="C7" s="5" t="s">
        <v>135</v>
      </c>
      <c r="D7" s="5" t="s">
        <v>136</v>
      </c>
      <c r="E7" s="15" t="s">
        <v>125</v>
      </c>
      <c r="F7" s="13" t="s">
        <v>116</v>
      </c>
      <c r="G7" s="13" t="s">
        <v>116</v>
      </c>
      <c r="H7" s="15" t="s">
        <v>125</v>
      </c>
      <c r="I7" s="15" t="s">
        <v>125</v>
      </c>
      <c r="J7" s="5" t="s">
        <v>137</v>
      </c>
    </row>
    <row r="8">
      <c r="A8" s="5" t="s">
        <v>88</v>
      </c>
      <c r="B8" s="5" t="s">
        <v>138</v>
      </c>
      <c r="C8" s="5" t="s">
        <v>139</v>
      </c>
      <c r="D8" s="5" t="s">
        <v>140</v>
      </c>
      <c r="E8" s="10" t="s">
        <v>101</v>
      </c>
      <c r="F8" s="13" t="s">
        <v>116</v>
      </c>
      <c r="G8" s="13" t="s">
        <v>116</v>
      </c>
      <c r="H8" s="13" t="s">
        <v>116</v>
      </c>
      <c r="I8" s="15" t="s">
        <v>125</v>
      </c>
      <c r="J8" s="5" t="s">
        <v>141</v>
      </c>
    </row>
    <row r="9">
      <c r="A9" s="5" t="s">
        <v>142</v>
      </c>
      <c r="B9" s="5" t="s">
        <v>143</v>
      </c>
      <c r="C9" s="5" t="s">
        <v>144</v>
      </c>
      <c r="D9" s="5" t="s">
        <v>97</v>
      </c>
      <c r="E9" s="15" t="s">
        <v>125</v>
      </c>
      <c r="F9" s="13" t="s">
        <v>116</v>
      </c>
      <c r="G9" s="13" t="s">
        <v>116</v>
      </c>
      <c r="H9" s="13" t="s">
        <v>116</v>
      </c>
      <c r="I9" s="15" t="s">
        <v>125</v>
      </c>
      <c r="J9" s="5" t="s">
        <v>145</v>
      </c>
    </row>
    <row r="10">
      <c r="A10" s="5" t="s">
        <v>142</v>
      </c>
      <c r="B10" s="5" t="s">
        <v>146</v>
      </c>
      <c r="C10" s="5" t="s">
        <v>147</v>
      </c>
      <c r="D10" s="5" t="s">
        <v>136</v>
      </c>
      <c r="E10" s="15" t="s">
        <v>125</v>
      </c>
      <c r="F10" s="13" t="s">
        <v>116</v>
      </c>
      <c r="G10" s="13" t="s">
        <v>116</v>
      </c>
      <c r="H10" s="15" t="s">
        <v>125</v>
      </c>
      <c r="I10" s="15" t="s">
        <v>125</v>
      </c>
      <c r="J10" s="5" t="s">
        <v>148</v>
      </c>
    </row>
    <row r="11">
      <c r="A11" s="5" t="s">
        <v>142</v>
      </c>
      <c r="B11" s="5" t="s">
        <v>149</v>
      </c>
      <c r="C11" s="5" t="s">
        <v>150</v>
      </c>
      <c r="D11" s="5" t="s">
        <v>132</v>
      </c>
      <c r="E11" s="18" t="s">
        <v>151</v>
      </c>
      <c r="F11" s="13" t="s">
        <v>116</v>
      </c>
      <c r="G11" s="13" t="s">
        <v>116</v>
      </c>
      <c r="H11" s="15" t="s">
        <v>125</v>
      </c>
      <c r="I11" s="15" t="s">
        <v>125</v>
      </c>
      <c r="J11" s="5" t="s">
        <v>152</v>
      </c>
    </row>
    <row r="12">
      <c r="A12" s="5" t="s">
        <v>142</v>
      </c>
      <c r="B12" s="5" t="s">
        <v>153</v>
      </c>
      <c r="C12" s="5" t="s">
        <v>154</v>
      </c>
      <c r="D12" s="5" t="s">
        <v>155</v>
      </c>
      <c r="E12" s="13" t="s">
        <v>116</v>
      </c>
      <c r="F12" s="13" t="s">
        <v>116</v>
      </c>
      <c r="G12" s="13" t="s">
        <v>116</v>
      </c>
      <c r="H12" s="13" t="s">
        <v>116</v>
      </c>
      <c r="I12" s="15" t="s">
        <v>125</v>
      </c>
      <c r="J12" s="5" t="s">
        <v>156</v>
      </c>
    </row>
    <row r="13">
      <c r="A13" s="9" t="s">
        <v>157</v>
      </c>
      <c r="B13" s="9"/>
      <c r="C13" s="9" t="s">
        <v>158</v>
      </c>
      <c r="D13" s="9"/>
      <c r="E13" s="21" t="str">
        <f t="shared" ref="E13:I13" si="1">IF(COUNTIF(E5:E12,"ALTO")&gt;0,"ALTO",IF(COUNTIF(E5:E12,"MEDIO")&gt;0,"MEDIO","BAJO"))</f>
        <v>ALTO</v>
      </c>
      <c r="F13" s="21" t="str">
        <f t="shared" si="1"/>
        <v>ALTO</v>
      </c>
      <c r="G13" s="21" t="str">
        <f t="shared" si="1"/>
        <v>ALTO</v>
      </c>
      <c r="H13" s="21" t="str">
        <f t="shared" si="1"/>
        <v>ALTO</v>
      </c>
      <c r="I13" s="21" t="str">
        <f t="shared" si="1"/>
        <v>MEDIO</v>
      </c>
      <c r="J13" s="9" t="s">
        <v>162</v>
      </c>
    </row>
    <row r="14">
      <c r="A14" s="9" t="s">
        <v>164</v>
      </c>
      <c r="B14" s="9"/>
      <c r="C14" s="9" t="s">
        <v>166</v>
      </c>
      <c r="D14" s="9"/>
      <c r="E14" s="23" t="s">
        <v>116</v>
      </c>
      <c r="F14" s="23" t="s">
        <v>116</v>
      </c>
      <c r="G14" s="23" t="s">
        <v>116</v>
      </c>
      <c r="H14" s="23" t="s">
        <v>116</v>
      </c>
      <c r="I14" s="23" t="s">
        <v>125</v>
      </c>
      <c r="J14" s="9" t="s">
        <v>169</v>
      </c>
    </row>
    <row r="15">
      <c r="A15" s="9" t="s">
        <v>170</v>
      </c>
      <c r="B15" s="9"/>
      <c r="C15" s="9" t="s">
        <v>171</v>
      </c>
      <c r="D15" s="9"/>
      <c r="E15" s="27" t="str">
        <f>IF(COUNTIF(E14:I14,"ALTO")&gt;0,"ALTA",IF(COUNTIF(E14:I14,"MEDIO")&gt;0,"MEDIA","BÁSICA"))</f>
        <v>ALTA</v>
      </c>
      <c r="F15" s="28"/>
      <c r="G15" s="28"/>
      <c r="H15" s="28"/>
      <c r="I15" s="30"/>
      <c r="J15" s="9"/>
    </row>
    <row r="17">
      <c r="A17" s="3" t="s">
        <v>178</v>
      </c>
    </row>
    <row r="18" ht="25.5" customHeight="1">
      <c r="A18" s="16" t="s">
        <v>179</v>
      </c>
    </row>
    <row r="19" ht="25.5" customHeight="1">
      <c r="A19" s="16" t="s">
        <v>180</v>
      </c>
    </row>
    <row r="20" ht="25.5" customHeight="1">
      <c r="A20" s="16" t="s">
        <v>181</v>
      </c>
    </row>
    <row r="21" ht="25.5" customHeight="1">
      <c r="A21" s="16" t="s">
        <v>185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J2"/>
    <mergeCell ref="E15:I15"/>
    <mergeCell ref="A18:J18"/>
    <mergeCell ref="A19:J19"/>
    <mergeCell ref="A20:J20"/>
    <mergeCell ref="A21:J2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6.0"/>
    <col customWidth="1" min="2" max="2" width="7.0"/>
    <col customWidth="1" min="3" max="3" width="21.29"/>
    <col customWidth="1" min="4" max="4" width="12.0"/>
    <col customWidth="1" min="5" max="5" width="11.0"/>
    <col customWidth="1" min="6" max="6" width="13.0"/>
    <col customWidth="1" min="7" max="7" width="16.0"/>
    <col customWidth="1" min="8" max="8" width="12.0"/>
    <col customWidth="1" min="9" max="9" width="24.0"/>
    <col customWidth="1" min="10" max="11" width="16.0"/>
    <col customWidth="1" min="12" max="12" width="27.29"/>
    <col customWidth="1" min="13" max="13" width="13.0"/>
    <col customWidth="1" min="14" max="14" width="44.0"/>
    <col customWidth="1" min="15" max="16" width="60.0"/>
    <col customWidth="1" min="17" max="17" width="12.0"/>
    <col customWidth="1" min="18" max="18" width="16.0"/>
    <col customWidth="1" min="19" max="19" width="9.0"/>
    <col customWidth="1" min="20" max="20" width="34.0"/>
    <col customWidth="1" min="21" max="21" width="20.0"/>
    <col customWidth="1" min="22" max="22" width="44.0"/>
    <col customWidth="1" min="23" max="23" width="22.0"/>
    <col customWidth="1" min="24" max="24" width="36.0"/>
  </cols>
  <sheetData>
    <row r="1" ht="43.5" customHeight="1">
      <c r="A1" s="2" t="s">
        <v>23</v>
      </c>
      <c r="B1" s="2" t="s">
        <v>29</v>
      </c>
      <c r="C1" s="2" t="s">
        <v>31</v>
      </c>
      <c r="D1" s="2" t="s">
        <v>35</v>
      </c>
      <c r="E1" s="2" t="s">
        <v>38</v>
      </c>
      <c r="F1" s="2" t="s">
        <v>40</v>
      </c>
      <c r="G1" s="2" t="s">
        <v>42</v>
      </c>
      <c r="H1" s="2" t="s">
        <v>46</v>
      </c>
      <c r="I1" s="2" t="s">
        <v>50</v>
      </c>
      <c r="J1" s="2" t="s">
        <v>51</v>
      </c>
      <c r="K1" s="2" t="s">
        <v>53</v>
      </c>
      <c r="L1" s="2" t="s">
        <v>55</v>
      </c>
      <c r="M1" s="2" t="s">
        <v>58</v>
      </c>
      <c r="N1" s="2" t="s">
        <v>61</v>
      </c>
      <c r="O1" s="8" t="s">
        <v>64</v>
      </c>
      <c r="P1" s="2" t="s">
        <v>83</v>
      </c>
      <c r="Q1" s="2" t="s">
        <v>85</v>
      </c>
      <c r="R1" s="2" t="s">
        <v>87</v>
      </c>
      <c r="S1" s="2" t="s">
        <v>89</v>
      </c>
      <c r="T1" s="2" t="s">
        <v>93</v>
      </c>
      <c r="U1" s="2" t="s">
        <v>95</v>
      </c>
      <c r="V1" s="2" t="s">
        <v>98</v>
      </c>
      <c r="W1" s="2" t="s">
        <v>100</v>
      </c>
      <c r="X1" s="2" t="s">
        <v>102</v>
      </c>
    </row>
    <row r="2">
      <c r="A2" s="11" t="s">
        <v>106</v>
      </c>
      <c r="B2" s="14" t="s">
        <v>117</v>
      </c>
      <c r="C2" s="16" t="s">
        <v>126</v>
      </c>
      <c r="D2" s="16" t="s">
        <v>128</v>
      </c>
      <c r="E2" s="17" t="s">
        <v>131</v>
      </c>
      <c r="F2" s="17" t="s">
        <v>131</v>
      </c>
      <c r="G2" s="17" t="s">
        <v>131</v>
      </c>
      <c r="H2" s="19" t="str">
        <f>IF('Categorización'!$E$15="ALTA","ALTO",IF('Categorización'!$E$15="MEDIA","MEDIO","BAJO"))</f>
        <v>ALTO</v>
      </c>
      <c r="I2" s="16" t="s">
        <v>159</v>
      </c>
      <c r="J2" s="20" t="str">
        <f t="shared" ref="J2:J48" si="1">IF(H2="ALTO",G2,IF(H2="MEDIO",F2,E2))</f>
        <v>aplica</v>
      </c>
      <c r="K2" s="16" t="s">
        <v>160</v>
      </c>
      <c r="L2" s="16" t="s">
        <v>160</v>
      </c>
      <c r="M2" s="22" t="s">
        <v>161</v>
      </c>
      <c r="N2" s="16" t="s">
        <v>163</v>
      </c>
      <c r="O2" s="16" t="s">
        <v>165</v>
      </c>
      <c r="P2" s="16" t="s">
        <v>167</v>
      </c>
      <c r="Q2" s="16" t="s">
        <v>160</v>
      </c>
      <c r="R2" s="24" t="s">
        <v>168</v>
      </c>
      <c r="S2" s="25">
        <v>1.0</v>
      </c>
      <c r="T2" s="16" t="s">
        <v>172</v>
      </c>
      <c r="U2" s="16" t="s">
        <v>173</v>
      </c>
      <c r="V2" s="16" t="s">
        <v>174</v>
      </c>
      <c r="W2" s="16" t="s">
        <v>175</v>
      </c>
      <c r="X2" s="16"/>
    </row>
    <row r="3" ht="150.0" customHeight="1">
      <c r="A3" s="5" t="s">
        <v>106</v>
      </c>
      <c r="B3" s="9" t="s">
        <v>176</v>
      </c>
      <c r="C3" s="5" t="s">
        <v>177</v>
      </c>
      <c r="D3" s="5" t="s">
        <v>128</v>
      </c>
      <c r="E3" s="26" t="s">
        <v>131</v>
      </c>
      <c r="F3" s="26" t="s">
        <v>131</v>
      </c>
      <c r="G3" s="26" t="s">
        <v>131</v>
      </c>
      <c r="H3" s="29" t="str">
        <f>IF('Categorización'!$E$15="ALTA","ALTO",IF('Categorización'!$E$15="MEDIA","MEDIO","BAJO"))</f>
        <v>ALTO</v>
      </c>
      <c r="I3" s="5" t="s">
        <v>159</v>
      </c>
      <c r="J3" s="21" t="str">
        <f t="shared" si="1"/>
        <v>aplica</v>
      </c>
      <c r="K3" s="5" t="s">
        <v>160</v>
      </c>
      <c r="L3" s="5" t="s">
        <v>160</v>
      </c>
      <c r="M3" s="31" t="s">
        <v>161</v>
      </c>
      <c r="N3" s="5" t="s">
        <v>182</v>
      </c>
      <c r="O3" s="5" t="s">
        <v>183</v>
      </c>
      <c r="P3" s="5" t="s">
        <v>184</v>
      </c>
      <c r="Q3" s="5" t="s">
        <v>160</v>
      </c>
      <c r="R3" s="32" t="s">
        <v>168</v>
      </c>
      <c r="S3" s="33">
        <v>1.0</v>
      </c>
      <c r="T3" s="5" t="s">
        <v>186</v>
      </c>
      <c r="U3" s="5" t="s">
        <v>187</v>
      </c>
      <c r="V3" s="5" t="s">
        <v>188</v>
      </c>
      <c r="W3" s="5" t="s">
        <v>175</v>
      </c>
      <c r="X3" s="5"/>
    </row>
    <row r="4" ht="150.0" customHeight="1">
      <c r="A4" s="5" t="s">
        <v>106</v>
      </c>
      <c r="B4" s="9" t="s">
        <v>189</v>
      </c>
      <c r="C4" s="5" t="s">
        <v>190</v>
      </c>
      <c r="D4" s="5" t="s">
        <v>128</v>
      </c>
      <c r="E4" s="26" t="s">
        <v>131</v>
      </c>
      <c r="F4" s="26" t="s">
        <v>131</v>
      </c>
      <c r="G4" s="26" t="s">
        <v>131</v>
      </c>
      <c r="H4" s="29" t="str">
        <f>IF('Categorización'!$E$15="ALTA","ALTO",IF('Categorización'!$E$15="MEDIA","MEDIO","BAJO"))</f>
        <v>ALTO</v>
      </c>
      <c r="I4" s="5" t="s">
        <v>159</v>
      </c>
      <c r="J4" s="21" t="str">
        <f t="shared" si="1"/>
        <v>aplica</v>
      </c>
      <c r="K4" s="5" t="s">
        <v>160</v>
      </c>
      <c r="L4" s="5" t="s">
        <v>160</v>
      </c>
      <c r="M4" s="31" t="s">
        <v>161</v>
      </c>
      <c r="N4" s="5" t="s">
        <v>192</v>
      </c>
      <c r="O4" s="5" t="s">
        <v>194</v>
      </c>
      <c r="P4" s="5" t="s">
        <v>195</v>
      </c>
      <c r="Q4" s="5" t="s">
        <v>160</v>
      </c>
      <c r="R4" s="32" t="s">
        <v>168</v>
      </c>
      <c r="S4" s="33">
        <v>1.0</v>
      </c>
      <c r="T4" s="5" t="s">
        <v>201</v>
      </c>
      <c r="U4" s="5" t="s">
        <v>187</v>
      </c>
      <c r="V4" s="5" t="s">
        <v>203</v>
      </c>
      <c r="W4" s="5" t="s">
        <v>175</v>
      </c>
      <c r="X4" s="5"/>
    </row>
    <row r="5" ht="150.0" customHeight="1">
      <c r="A5" s="5" t="s">
        <v>208</v>
      </c>
      <c r="B5" s="9" t="s">
        <v>210</v>
      </c>
      <c r="C5" s="5" t="s">
        <v>213</v>
      </c>
      <c r="D5" s="5" t="s">
        <v>128</v>
      </c>
      <c r="E5" s="26" t="s">
        <v>131</v>
      </c>
      <c r="F5" s="26" t="s">
        <v>131</v>
      </c>
      <c r="G5" s="26" t="s">
        <v>131</v>
      </c>
      <c r="H5" s="29" t="str">
        <f>IF('Categorización'!$E$15="ALTA","ALTO",IF('Categorización'!$E$15="MEDIA","MEDIO","BAJO"))</f>
        <v>ALTO</v>
      </c>
      <c r="I5" s="5" t="s">
        <v>159</v>
      </c>
      <c r="J5" s="21" t="str">
        <f t="shared" si="1"/>
        <v>aplica</v>
      </c>
      <c r="K5" s="5" t="s">
        <v>160</v>
      </c>
      <c r="L5" s="5" t="s">
        <v>160</v>
      </c>
      <c r="M5" s="31" t="s">
        <v>161</v>
      </c>
      <c r="N5" s="5" t="s">
        <v>242</v>
      </c>
      <c r="O5" s="5" t="s">
        <v>243</v>
      </c>
      <c r="P5" s="5" t="s">
        <v>245</v>
      </c>
      <c r="Q5" s="5" t="s">
        <v>160</v>
      </c>
      <c r="R5" s="32" t="s">
        <v>168</v>
      </c>
      <c r="S5" s="33">
        <v>1.0</v>
      </c>
      <c r="T5" s="5" t="s">
        <v>249</v>
      </c>
      <c r="U5" s="5" t="s">
        <v>251</v>
      </c>
      <c r="V5" s="5" t="s">
        <v>253</v>
      </c>
      <c r="W5" s="5" t="s">
        <v>254</v>
      </c>
      <c r="X5" s="5"/>
    </row>
    <row r="6" ht="150.0" customHeight="1">
      <c r="A6" s="5" t="s">
        <v>256</v>
      </c>
      <c r="B6" s="9" t="s">
        <v>258</v>
      </c>
      <c r="C6" s="5" t="s">
        <v>260</v>
      </c>
      <c r="D6" s="5" t="s">
        <v>261</v>
      </c>
      <c r="E6" s="35" t="s">
        <v>264</v>
      </c>
      <c r="F6" s="26" t="s">
        <v>131</v>
      </c>
      <c r="G6" s="26" t="s">
        <v>275</v>
      </c>
      <c r="H6" s="29" t="str">
        <f>IF(OR('Categorización'!F$14="ALTO",'Categorización'!G$14="ALTO",'Categorización'!H$14="ALTO",'Categorización'!I$14="ALTO"),"ALTO",IF(OR('Categorización'!F$14="MEDIO",'Categorización'!G$14="MEDIO",'Categorización'!H$14="MEDIO",'Categorización'!I$14="MEDIO"),"MEDIO","BAJO"))</f>
        <v>ALTO</v>
      </c>
      <c r="I6" s="5" t="s">
        <v>297</v>
      </c>
      <c r="J6" s="21" t="str">
        <f t="shared" si="1"/>
        <v>+ R1</v>
      </c>
      <c r="K6" s="5" t="s">
        <v>301</v>
      </c>
      <c r="L6" s="5" t="s">
        <v>160</v>
      </c>
      <c r="M6" s="31" t="s">
        <v>161</v>
      </c>
      <c r="N6" s="5" t="s">
        <v>304</v>
      </c>
      <c r="O6" s="5" t="s">
        <v>307</v>
      </c>
      <c r="P6" s="5" t="s">
        <v>308</v>
      </c>
      <c r="Q6" s="5" t="s">
        <v>160</v>
      </c>
      <c r="R6" s="32" t="s">
        <v>168</v>
      </c>
      <c r="S6" s="33">
        <v>1.0</v>
      </c>
      <c r="T6" s="5" t="s">
        <v>310</v>
      </c>
      <c r="U6" s="5" t="s">
        <v>173</v>
      </c>
      <c r="V6" s="5" t="s">
        <v>312</v>
      </c>
      <c r="W6" s="5" t="s">
        <v>314</v>
      </c>
      <c r="X6" s="5"/>
    </row>
    <row r="7">
      <c r="A7" s="11" t="s">
        <v>256</v>
      </c>
      <c r="B7" s="14" t="s">
        <v>318</v>
      </c>
      <c r="C7" s="16" t="s">
        <v>319</v>
      </c>
      <c r="D7" s="16" t="s">
        <v>261</v>
      </c>
      <c r="E7" s="17" t="s">
        <v>131</v>
      </c>
      <c r="F7" s="17" t="s">
        <v>131</v>
      </c>
      <c r="G7" s="17" t="s">
        <v>131</v>
      </c>
      <c r="H7" s="19" t="str">
        <f>IF(OR('Categorización'!F$14="ALTO",'Categorización'!G$14="ALTO",'Categorización'!H$14="ALTO",'Categorización'!I$14="ALTO"),"ALTO",IF(OR('Categorización'!F$14="MEDIO",'Categorización'!G$14="MEDIO",'Categorización'!H$14="MEDIO",'Categorización'!I$14="MEDIO"),"MEDIO","BAJO"))</f>
        <v>ALTO</v>
      </c>
      <c r="I7" s="16" t="s">
        <v>297</v>
      </c>
      <c r="J7" s="20" t="str">
        <f t="shared" si="1"/>
        <v>aplica</v>
      </c>
      <c r="K7" s="16" t="s">
        <v>160</v>
      </c>
      <c r="L7" s="16" t="s">
        <v>160</v>
      </c>
      <c r="M7" s="22" t="s">
        <v>161</v>
      </c>
      <c r="N7" s="16" t="s">
        <v>332</v>
      </c>
      <c r="O7" s="16" t="s">
        <v>333</v>
      </c>
      <c r="P7" s="16" t="s">
        <v>334</v>
      </c>
      <c r="Q7" s="16" t="s">
        <v>160</v>
      </c>
      <c r="R7" s="24" t="s">
        <v>168</v>
      </c>
      <c r="S7" s="25">
        <v>1.0</v>
      </c>
      <c r="T7" s="16" t="s">
        <v>336</v>
      </c>
      <c r="U7" s="16" t="s">
        <v>187</v>
      </c>
      <c r="V7" s="16" t="s">
        <v>338</v>
      </c>
      <c r="W7" s="16" t="s">
        <v>314</v>
      </c>
      <c r="X7" s="16"/>
    </row>
    <row r="8">
      <c r="A8" s="11" t="s">
        <v>340</v>
      </c>
      <c r="B8" s="14" t="s">
        <v>341</v>
      </c>
      <c r="C8" s="16" t="s">
        <v>342</v>
      </c>
      <c r="D8" s="16" t="s">
        <v>128</v>
      </c>
      <c r="E8" s="17" t="s">
        <v>131</v>
      </c>
      <c r="F8" s="17" t="s">
        <v>131</v>
      </c>
      <c r="G8" s="17" t="s">
        <v>131</v>
      </c>
      <c r="H8" s="19" t="str">
        <f>IF('Categorización'!$E$15="ALTA","ALTO",IF('Categorización'!$E$15="MEDIA","MEDIO","BAJO"))</f>
        <v>ALTO</v>
      </c>
      <c r="I8" s="16" t="s">
        <v>159</v>
      </c>
      <c r="J8" s="20" t="str">
        <f t="shared" si="1"/>
        <v>aplica</v>
      </c>
      <c r="K8" s="16" t="s">
        <v>160</v>
      </c>
      <c r="L8" s="16" t="s">
        <v>160</v>
      </c>
      <c r="M8" s="22" t="s">
        <v>161</v>
      </c>
      <c r="N8" s="16" t="s">
        <v>163</v>
      </c>
      <c r="O8" s="16" t="s">
        <v>347</v>
      </c>
      <c r="P8" s="16" t="s">
        <v>348</v>
      </c>
      <c r="Q8" s="16" t="s">
        <v>160</v>
      </c>
      <c r="R8" s="24" t="s">
        <v>168</v>
      </c>
      <c r="S8" s="25">
        <v>1.0</v>
      </c>
      <c r="T8" s="16" t="s">
        <v>350</v>
      </c>
      <c r="U8" s="16" t="s">
        <v>351</v>
      </c>
      <c r="V8" s="16" t="s">
        <v>352</v>
      </c>
      <c r="W8" s="16" t="s">
        <v>353</v>
      </c>
      <c r="X8" s="16"/>
    </row>
    <row r="9" ht="150.0" customHeight="1">
      <c r="A9" s="5" t="s">
        <v>340</v>
      </c>
      <c r="B9" s="9" t="s">
        <v>354</v>
      </c>
      <c r="C9" s="5" t="s">
        <v>355</v>
      </c>
      <c r="D9" s="5" t="s">
        <v>128</v>
      </c>
      <c r="E9" s="26" t="s">
        <v>131</v>
      </c>
      <c r="F9" s="26" t="s">
        <v>131</v>
      </c>
      <c r="G9" s="26" t="s">
        <v>131</v>
      </c>
      <c r="H9" s="29" t="str">
        <f>IF('Categorización'!$E$15="ALTA","ALTO",IF('Categorización'!$E$15="MEDIA","MEDIO","BAJO"))</f>
        <v>ALTO</v>
      </c>
      <c r="I9" s="5" t="s">
        <v>159</v>
      </c>
      <c r="J9" s="21" t="str">
        <f t="shared" si="1"/>
        <v>aplica</v>
      </c>
      <c r="K9" s="5" t="s">
        <v>160</v>
      </c>
      <c r="L9" s="5" t="s">
        <v>160</v>
      </c>
      <c r="M9" s="31" t="s">
        <v>161</v>
      </c>
      <c r="N9" s="5" t="s">
        <v>360</v>
      </c>
      <c r="O9" s="5" t="s">
        <v>361</v>
      </c>
      <c r="P9" s="5" t="s">
        <v>362</v>
      </c>
      <c r="Q9" s="5" t="s">
        <v>160</v>
      </c>
      <c r="R9" s="32" t="s">
        <v>168</v>
      </c>
      <c r="S9" s="33">
        <v>1.0</v>
      </c>
      <c r="T9" s="5" t="s">
        <v>363</v>
      </c>
      <c r="U9" s="5" t="s">
        <v>351</v>
      </c>
      <c r="V9" s="5" t="s">
        <v>364</v>
      </c>
      <c r="W9" s="5" t="s">
        <v>353</v>
      </c>
      <c r="X9" s="5"/>
    </row>
    <row r="10" ht="150.0" customHeight="1">
      <c r="A10" s="5" t="s">
        <v>340</v>
      </c>
      <c r="B10" s="9" t="s">
        <v>365</v>
      </c>
      <c r="C10" s="5" t="s">
        <v>366</v>
      </c>
      <c r="D10" s="5" t="s">
        <v>128</v>
      </c>
      <c r="E10" s="35" t="s">
        <v>264</v>
      </c>
      <c r="F10" s="26" t="s">
        <v>131</v>
      </c>
      <c r="G10" s="26" t="s">
        <v>275</v>
      </c>
      <c r="H10" s="29" t="str">
        <f>IF('Categorización'!$E$15="ALTA","ALTO",IF('Categorización'!$E$15="MEDIA","MEDIO","BAJO"))</f>
        <v>ALTO</v>
      </c>
      <c r="I10" s="5" t="s">
        <v>159</v>
      </c>
      <c r="J10" s="21" t="str">
        <f t="shared" si="1"/>
        <v>+ R1</v>
      </c>
      <c r="K10" s="5" t="s">
        <v>367</v>
      </c>
      <c r="L10" s="5" t="s">
        <v>160</v>
      </c>
      <c r="M10" s="31" t="s">
        <v>161</v>
      </c>
      <c r="N10" s="5" t="s">
        <v>368</v>
      </c>
      <c r="O10" s="5" t="s">
        <v>369</v>
      </c>
      <c r="P10" s="5" t="s">
        <v>370</v>
      </c>
      <c r="Q10" s="5" t="s">
        <v>160</v>
      </c>
      <c r="R10" s="32" t="s">
        <v>168</v>
      </c>
      <c r="S10" s="33">
        <v>1.0</v>
      </c>
      <c r="T10" s="5" t="s">
        <v>371</v>
      </c>
      <c r="U10" s="5" t="s">
        <v>187</v>
      </c>
      <c r="V10" s="5" t="s">
        <v>372</v>
      </c>
      <c r="W10" s="5" t="s">
        <v>353</v>
      </c>
      <c r="X10" s="5"/>
    </row>
    <row r="11" ht="150.0" customHeight="1">
      <c r="A11" s="5" t="s">
        <v>340</v>
      </c>
      <c r="B11" s="9" t="s">
        <v>373</v>
      </c>
      <c r="C11" s="5" t="s">
        <v>374</v>
      </c>
      <c r="D11" s="5" t="s">
        <v>128</v>
      </c>
      <c r="E11" s="26" t="s">
        <v>131</v>
      </c>
      <c r="F11" s="26" t="s">
        <v>131</v>
      </c>
      <c r="G11" s="26" t="s">
        <v>131</v>
      </c>
      <c r="H11" s="29" t="str">
        <f>IF('Categorización'!$E$15="ALTA","ALTO",IF('Categorización'!$E$15="MEDIA","MEDIO","BAJO"))</f>
        <v>ALTO</v>
      </c>
      <c r="I11" s="5" t="s">
        <v>159</v>
      </c>
      <c r="J11" s="21" t="str">
        <f t="shared" si="1"/>
        <v>aplica</v>
      </c>
      <c r="K11" s="5" t="s">
        <v>160</v>
      </c>
      <c r="L11" s="5" t="s">
        <v>160</v>
      </c>
      <c r="M11" s="31" t="s">
        <v>161</v>
      </c>
      <c r="N11" s="5" t="s">
        <v>375</v>
      </c>
      <c r="O11" s="5" t="s">
        <v>376</v>
      </c>
      <c r="P11" s="5" t="s">
        <v>377</v>
      </c>
      <c r="Q11" s="5" t="s">
        <v>160</v>
      </c>
      <c r="R11" s="32" t="s">
        <v>168</v>
      </c>
      <c r="S11" s="33">
        <v>1.0</v>
      </c>
      <c r="T11" s="5" t="s">
        <v>378</v>
      </c>
      <c r="U11" s="5" t="s">
        <v>379</v>
      </c>
      <c r="V11" s="5" t="s">
        <v>380</v>
      </c>
      <c r="W11" s="5" t="s">
        <v>353</v>
      </c>
      <c r="X11" s="5"/>
    </row>
    <row r="12" ht="150.0" customHeight="1">
      <c r="A12" s="5" t="s">
        <v>381</v>
      </c>
      <c r="B12" s="9" t="s">
        <v>382</v>
      </c>
      <c r="C12" s="5" t="s">
        <v>383</v>
      </c>
      <c r="D12" s="5" t="s">
        <v>128</v>
      </c>
      <c r="E12" s="35" t="s">
        <v>264</v>
      </c>
      <c r="F12" s="26" t="s">
        <v>131</v>
      </c>
      <c r="G12" s="26" t="s">
        <v>131</v>
      </c>
      <c r="H12" s="29" t="str">
        <f>IF('Categorización'!$E$15="ALTA","ALTO",IF('Categorización'!$E$15="MEDIA","MEDIO","BAJO"))</f>
        <v>ALTO</v>
      </c>
      <c r="I12" s="5" t="s">
        <v>159</v>
      </c>
      <c r="J12" s="21" t="str">
        <f t="shared" si="1"/>
        <v>aplica</v>
      </c>
      <c r="K12" s="5" t="s">
        <v>160</v>
      </c>
      <c r="L12" s="5" t="s">
        <v>160</v>
      </c>
      <c r="M12" s="31" t="s">
        <v>161</v>
      </c>
      <c r="N12" s="5" t="s">
        <v>384</v>
      </c>
      <c r="O12" s="5" t="s">
        <v>385</v>
      </c>
      <c r="P12" s="5" t="s">
        <v>386</v>
      </c>
      <c r="Q12" s="5" t="s">
        <v>160</v>
      </c>
      <c r="R12" s="32" t="s">
        <v>168</v>
      </c>
      <c r="S12" s="33">
        <v>1.0</v>
      </c>
      <c r="T12" s="5" t="s">
        <v>388</v>
      </c>
      <c r="U12" s="5" t="s">
        <v>251</v>
      </c>
      <c r="V12" s="5" t="s">
        <v>389</v>
      </c>
      <c r="W12" s="5" t="s">
        <v>391</v>
      </c>
      <c r="X12" s="5"/>
    </row>
    <row r="13" ht="150.0" customHeight="1">
      <c r="A13" s="5" t="s">
        <v>381</v>
      </c>
      <c r="B13" s="9" t="s">
        <v>393</v>
      </c>
      <c r="C13" s="5" t="s">
        <v>394</v>
      </c>
      <c r="D13" s="5" t="s">
        <v>128</v>
      </c>
      <c r="E13" s="35" t="s">
        <v>264</v>
      </c>
      <c r="F13" s="26" t="s">
        <v>131</v>
      </c>
      <c r="G13" s="26" t="s">
        <v>131</v>
      </c>
      <c r="H13" s="29" t="str">
        <f>IF('Categorización'!$E$15="ALTA","ALTO",IF('Categorización'!$E$15="MEDIA","MEDIO","BAJO"))</f>
        <v>ALTO</v>
      </c>
      <c r="I13" s="5" t="s">
        <v>159</v>
      </c>
      <c r="J13" s="21" t="str">
        <f t="shared" si="1"/>
        <v>aplica</v>
      </c>
      <c r="K13" s="5" t="s">
        <v>160</v>
      </c>
      <c r="L13" s="5" t="s">
        <v>160</v>
      </c>
      <c r="M13" s="31" t="s">
        <v>161</v>
      </c>
      <c r="N13" s="5" t="s">
        <v>402</v>
      </c>
      <c r="O13" s="5" t="s">
        <v>404</v>
      </c>
      <c r="P13" s="5" t="s">
        <v>406</v>
      </c>
      <c r="Q13" s="5" t="s">
        <v>160</v>
      </c>
      <c r="R13" s="32" t="s">
        <v>168</v>
      </c>
      <c r="S13" s="33">
        <v>1.0</v>
      </c>
      <c r="T13" s="5" t="s">
        <v>408</v>
      </c>
      <c r="U13" s="5" t="s">
        <v>351</v>
      </c>
      <c r="V13" s="5" t="s">
        <v>409</v>
      </c>
      <c r="W13" s="5" t="s">
        <v>391</v>
      </c>
      <c r="X13" s="5"/>
    </row>
    <row r="14">
      <c r="A14" s="11" t="s">
        <v>412</v>
      </c>
      <c r="B14" s="14" t="s">
        <v>413</v>
      </c>
      <c r="C14" s="16" t="s">
        <v>414</v>
      </c>
      <c r="D14" s="16" t="s">
        <v>77</v>
      </c>
      <c r="E14" s="37" t="s">
        <v>264</v>
      </c>
      <c r="F14" s="37" t="s">
        <v>264</v>
      </c>
      <c r="G14" s="17" t="s">
        <v>131</v>
      </c>
      <c r="H14" s="19" t="str">
        <f>IF(OR('Categorización'!E$14="ALTO"),"ALTO",IF(OR('Categorización'!E$14="MEDIO"),"MEDIO","BAJO"))</f>
        <v>ALTO</v>
      </c>
      <c r="I14" s="16" t="s">
        <v>425</v>
      </c>
      <c r="J14" s="20" t="str">
        <f t="shared" si="1"/>
        <v>aplica</v>
      </c>
      <c r="K14" s="16" t="s">
        <v>160</v>
      </c>
      <c r="L14" s="16" t="s">
        <v>160</v>
      </c>
      <c r="M14" s="22" t="s">
        <v>161</v>
      </c>
      <c r="N14" s="16" t="s">
        <v>427</v>
      </c>
      <c r="O14" s="16" t="s">
        <v>428</v>
      </c>
      <c r="P14" s="16" t="s">
        <v>429</v>
      </c>
      <c r="Q14" s="16" t="s">
        <v>160</v>
      </c>
      <c r="R14" s="24" t="s">
        <v>168</v>
      </c>
      <c r="S14" s="25">
        <v>1.0</v>
      </c>
      <c r="T14" s="16" t="s">
        <v>430</v>
      </c>
      <c r="U14" s="16" t="s">
        <v>187</v>
      </c>
      <c r="V14" s="16" t="s">
        <v>431</v>
      </c>
      <c r="W14" s="16" t="s">
        <v>432</v>
      </c>
      <c r="X14" s="16"/>
    </row>
    <row r="15" ht="150.0" customHeight="1">
      <c r="A15" s="5" t="s">
        <v>412</v>
      </c>
      <c r="B15" s="9" t="s">
        <v>434</v>
      </c>
      <c r="C15" s="5" t="s">
        <v>436</v>
      </c>
      <c r="D15" s="5" t="s">
        <v>77</v>
      </c>
      <c r="E15" s="35" t="s">
        <v>264</v>
      </c>
      <c r="F15" s="35" t="s">
        <v>264</v>
      </c>
      <c r="G15" s="26" t="s">
        <v>131</v>
      </c>
      <c r="H15" s="29" t="str">
        <f>IF(OR('Categorización'!E$14="ALTO"),"ALTO",IF(OR('Categorización'!E$14="MEDIO"),"MEDIO","BAJO"))</f>
        <v>ALTO</v>
      </c>
      <c r="I15" s="5" t="s">
        <v>425</v>
      </c>
      <c r="J15" s="21" t="str">
        <f t="shared" si="1"/>
        <v>aplica</v>
      </c>
      <c r="K15" s="5" t="s">
        <v>160</v>
      </c>
      <c r="L15" s="5" t="s">
        <v>160</v>
      </c>
      <c r="M15" s="31" t="s">
        <v>161</v>
      </c>
      <c r="N15" s="5" t="s">
        <v>444</v>
      </c>
      <c r="O15" s="5" t="s">
        <v>445</v>
      </c>
      <c r="P15" s="5" t="s">
        <v>447</v>
      </c>
      <c r="Q15" s="5" t="s">
        <v>160</v>
      </c>
      <c r="R15" s="32" t="s">
        <v>168</v>
      </c>
      <c r="S15" s="33">
        <v>1.0</v>
      </c>
      <c r="T15" s="5" t="s">
        <v>448</v>
      </c>
      <c r="U15" s="5" t="s">
        <v>351</v>
      </c>
      <c r="V15" s="5" t="s">
        <v>450</v>
      </c>
      <c r="W15" s="5" t="s">
        <v>432</v>
      </c>
      <c r="X15" s="5"/>
    </row>
    <row r="16" ht="150.0" customHeight="1">
      <c r="A16" s="5" t="s">
        <v>412</v>
      </c>
      <c r="B16" s="9" t="s">
        <v>452</v>
      </c>
      <c r="C16" s="5" t="s">
        <v>453</v>
      </c>
      <c r="D16" s="5" t="s">
        <v>77</v>
      </c>
      <c r="E16" s="35" t="s">
        <v>264</v>
      </c>
      <c r="F16" s="35" t="s">
        <v>264</v>
      </c>
      <c r="G16" s="26" t="s">
        <v>131</v>
      </c>
      <c r="H16" s="29" t="str">
        <f>IF(OR('Categorización'!E$14="ALTO"),"ALTO",IF(OR('Categorización'!E$14="MEDIO"),"MEDIO","BAJO"))</f>
        <v>ALTO</v>
      </c>
      <c r="I16" s="5" t="s">
        <v>425</v>
      </c>
      <c r="J16" s="21" t="str">
        <f t="shared" si="1"/>
        <v>aplica</v>
      </c>
      <c r="K16" s="5" t="s">
        <v>160</v>
      </c>
      <c r="L16" s="5" t="s">
        <v>160</v>
      </c>
      <c r="M16" s="31" t="s">
        <v>161</v>
      </c>
      <c r="N16" s="5" t="s">
        <v>461</v>
      </c>
      <c r="O16" s="5" t="s">
        <v>462</v>
      </c>
      <c r="P16" s="5" t="s">
        <v>463</v>
      </c>
      <c r="Q16" s="5" t="s">
        <v>160</v>
      </c>
      <c r="R16" s="32" t="s">
        <v>168</v>
      </c>
      <c r="S16" s="33">
        <v>1.0</v>
      </c>
      <c r="T16" s="5" t="s">
        <v>465</v>
      </c>
      <c r="U16" s="5" t="s">
        <v>187</v>
      </c>
      <c r="V16" s="5" t="s">
        <v>467</v>
      </c>
      <c r="W16" s="5" t="s">
        <v>432</v>
      </c>
      <c r="X16" s="5"/>
    </row>
    <row r="17" ht="150.0" customHeight="1">
      <c r="A17" s="5" t="s">
        <v>470</v>
      </c>
      <c r="B17" s="9" t="s">
        <v>471</v>
      </c>
      <c r="C17" s="5" t="s">
        <v>472</v>
      </c>
      <c r="D17" s="5" t="s">
        <v>128</v>
      </c>
      <c r="E17" s="26" t="s">
        <v>131</v>
      </c>
      <c r="F17" s="26" t="s">
        <v>131</v>
      </c>
      <c r="G17" s="26" t="s">
        <v>131</v>
      </c>
      <c r="H17" s="29" t="str">
        <f>IF('Categorización'!$E$15="ALTA","ALTO",IF('Categorización'!$E$15="MEDIA","MEDIO","BAJO"))</f>
        <v>ALTO</v>
      </c>
      <c r="I17" s="5" t="s">
        <v>159</v>
      </c>
      <c r="J17" s="21" t="str">
        <f t="shared" si="1"/>
        <v>aplica</v>
      </c>
      <c r="K17" s="5" t="s">
        <v>160</v>
      </c>
      <c r="L17" s="5" t="s">
        <v>160</v>
      </c>
      <c r="M17" s="31" t="s">
        <v>161</v>
      </c>
      <c r="N17" s="5" t="s">
        <v>481</v>
      </c>
      <c r="O17" s="5" t="s">
        <v>483</v>
      </c>
      <c r="P17" s="5" t="s">
        <v>484</v>
      </c>
      <c r="Q17" s="5" t="s">
        <v>160</v>
      </c>
      <c r="R17" s="32" t="s">
        <v>168</v>
      </c>
      <c r="S17" s="33">
        <v>1.0</v>
      </c>
      <c r="T17" s="5" t="s">
        <v>486</v>
      </c>
      <c r="U17" s="5" t="s">
        <v>487</v>
      </c>
      <c r="V17" s="5" t="s">
        <v>488</v>
      </c>
      <c r="W17" s="5" t="s">
        <v>489</v>
      </c>
      <c r="X17" s="5"/>
    </row>
    <row r="18" ht="150.0" customHeight="1">
      <c r="A18" s="5" t="s">
        <v>470</v>
      </c>
      <c r="B18" s="9" t="s">
        <v>490</v>
      </c>
      <c r="C18" s="5" t="s">
        <v>492</v>
      </c>
      <c r="D18" s="5" t="s">
        <v>128</v>
      </c>
      <c r="E18" s="26" t="s">
        <v>131</v>
      </c>
      <c r="F18" s="26" t="s">
        <v>131</v>
      </c>
      <c r="G18" s="26" t="s">
        <v>131</v>
      </c>
      <c r="H18" s="29" t="str">
        <f>IF('Categorización'!$E$15="ALTA","ALTO",IF('Categorización'!$E$15="MEDIA","MEDIO","BAJO"))</f>
        <v>ALTO</v>
      </c>
      <c r="I18" s="5" t="s">
        <v>159</v>
      </c>
      <c r="J18" s="21" t="str">
        <f t="shared" si="1"/>
        <v>aplica</v>
      </c>
      <c r="K18" s="5" t="s">
        <v>160</v>
      </c>
      <c r="L18" s="5" t="s">
        <v>160</v>
      </c>
      <c r="M18" s="31" t="s">
        <v>161</v>
      </c>
      <c r="N18" s="5" t="s">
        <v>500</v>
      </c>
      <c r="O18" s="5" t="s">
        <v>502</v>
      </c>
      <c r="P18" s="5" t="s">
        <v>504</v>
      </c>
      <c r="Q18" s="5" t="s">
        <v>160</v>
      </c>
      <c r="R18" s="32" t="s">
        <v>168</v>
      </c>
      <c r="S18" s="33">
        <v>1.0</v>
      </c>
      <c r="T18" s="5" t="s">
        <v>506</v>
      </c>
      <c r="U18" s="5" t="s">
        <v>487</v>
      </c>
      <c r="V18" s="5" t="s">
        <v>507</v>
      </c>
      <c r="W18" s="5" t="s">
        <v>489</v>
      </c>
      <c r="X18" s="5"/>
    </row>
    <row r="19" ht="150.0" customHeight="1">
      <c r="A19" s="5" t="s">
        <v>470</v>
      </c>
      <c r="B19" s="9" t="s">
        <v>509</v>
      </c>
      <c r="C19" s="5" t="s">
        <v>510</v>
      </c>
      <c r="D19" s="5" t="s">
        <v>128</v>
      </c>
      <c r="E19" s="26" t="s">
        <v>131</v>
      </c>
      <c r="F19" s="26" t="s">
        <v>131</v>
      </c>
      <c r="G19" s="26" t="s">
        <v>131</v>
      </c>
      <c r="H19" s="29" t="str">
        <f>IF('Categorización'!$E$15="ALTA","ALTO",IF('Categorización'!$E$15="MEDIA","MEDIO","BAJO"))</f>
        <v>ALTO</v>
      </c>
      <c r="I19" s="5" t="s">
        <v>159</v>
      </c>
      <c r="J19" s="21" t="str">
        <f t="shared" si="1"/>
        <v>aplica</v>
      </c>
      <c r="K19" s="5" t="s">
        <v>160</v>
      </c>
      <c r="L19" s="5" t="s">
        <v>160</v>
      </c>
      <c r="M19" s="31" t="s">
        <v>161</v>
      </c>
      <c r="N19" s="5" t="s">
        <v>530</v>
      </c>
      <c r="O19" s="5" t="s">
        <v>532</v>
      </c>
      <c r="P19" s="5" t="s">
        <v>533</v>
      </c>
      <c r="Q19" s="5" t="s">
        <v>160</v>
      </c>
      <c r="R19" s="32" t="s">
        <v>168</v>
      </c>
      <c r="S19" s="33">
        <v>1.0</v>
      </c>
      <c r="T19" s="5" t="s">
        <v>535</v>
      </c>
      <c r="U19" s="5" t="s">
        <v>487</v>
      </c>
      <c r="V19" s="5" t="s">
        <v>537</v>
      </c>
      <c r="W19" s="5" t="s">
        <v>489</v>
      </c>
      <c r="X19" s="5"/>
    </row>
    <row r="20" ht="150.0" customHeight="1">
      <c r="A20" s="5" t="s">
        <v>470</v>
      </c>
      <c r="B20" s="9" t="s">
        <v>539</v>
      </c>
      <c r="C20" s="5" t="s">
        <v>540</v>
      </c>
      <c r="D20" s="5" t="s">
        <v>77</v>
      </c>
      <c r="E20" s="26" t="s">
        <v>131</v>
      </c>
      <c r="F20" s="26" t="s">
        <v>131</v>
      </c>
      <c r="G20" s="26" t="s">
        <v>131</v>
      </c>
      <c r="H20" s="29" t="str">
        <f>IF(OR('Categorización'!E$14="ALTO"),"ALTO",IF(OR('Categorización'!E$14="MEDIO"),"MEDIO","BAJO"))</f>
        <v>ALTO</v>
      </c>
      <c r="I20" s="5" t="s">
        <v>425</v>
      </c>
      <c r="J20" s="21" t="str">
        <f t="shared" si="1"/>
        <v>aplica</v>
      </c>
      <c r="K20" s="5" t="s">
        <v>160</v>
      </c>
      <c r="L20" s="5" t="s">
        <v>160</v>
      </c>
      <c r="M20" s="31" t="s">
        <v>161</v>
      </c>
      <c r="N20" s="5" t="s">
        <v>555</v>
      </c>
      <c r="O20" s="5" t="s">
        <v>558</v>
      </c>
      <c r="P20" s="5" t="s">
        <v>559</v>
      </c>
      <c r="Q20" s="5" t="s">
        <v>160</v>
      </c>
      <c r="R20" s="32" t="s">
        <v>168</v>
      </c>
      <c r="S20" s="33">
        <v>1.0</v>
      </c>
      <c r="T20" s="5" t="s">
        <v>561</v>
      </c>
      <c r="U20" s="5" t="s">
        <v>487</v>
      </c>
      <c r="V20" s="5" t="s">
        <v>563</v>
      </c>
      <c r="W20" s="5" t="s">
        <v>489</v>
      </c>
      <c r="X20" s="5"/>
    </row>
    <row r="21" ht="15.75" customHeight="1">
      <c r="A21" s="11" t="s">
        <v>470</v>
      </c>
      <c r="B21" s="14" t="s">
        <v>565</v>
      </c>
      <c r="C21" s="16" t="s">
        <v>566</v>
      </c>
      <c r="D21" s="16" t="s">
        <v>128</v>
      </c>
      <c r="E21" s="17" t="s">
        <v>131</v>
      </c>
      <c r="F21" s="17" t="s">
        <v>131</v>
      </c>
      <c r="G21" s="17" t="s">
        <v>131</v>
      </c>
      <c r="H21" s="19" t="str">
        <f>IF('Categorización'!$E$15="ALTA","ALTO",IF('Categorización'!$E$15="MEDIA","MEDIO","BAJO"))</f>
        <v>ALTO</v>
      </c>
      <c r="I21" s="16" t="s">
        <v>159</v>
      </c>
      <c r="J21" s="20" t="str">
        <f t="shared" si="1"/>
        <v>aplica</v>
      </c>
      <c r="K21" s="16" t="s">
        <v>160</v>
      </c>
      <c r="L21" s="16" t="s">
        <v>160</v>
      </c>
      <c r="M21" s="22" t="s">
        <v>161</v>
      </c>
      <c r="N21" s="16" t="s">
        <v>579</v>
      </c>
      <c r="O21" s="16" t="s">
        <v>580</v>
      </c>
      <c r="P21" s="16" t="s">
        <v>581</v>
      </c>
      <c r="Q21" s="16" t="s">
        <v>160</v>
      </c>
      <c r="R21" s="24" t="s">
        <v>168</v>
      </c>
      <c r="S21" s="25">
        <v>1.0</v>
      </c>
      <c r="T21" s="16" t="s">
        <v>585</v>
      </c>
      <c r="U21" s="16" t="s">
        <v>487</v>
      </c>
      <c r="V21" s="16" t="s">
        <v>586</v>
      </c>
      <c r="W21" s="16" t="s">
        <v>489</v>
      </c>
      <c r="X21" s="16"/>
    </row>
    <row r="22" ht="150.0" customHeight="1">
      <c r="A22" s="5" t="s">
        <v>588</v>
      </c>
      <c r="B22" s="9" t="s">
        <v>589</v>
      </c>
      <c r="C22" s="5" t="s">
        <v>590</v>
      </c>
      <c r="D22" s="5" t="s">
        <v>128</v>
      </c>
      <c r="E22" s="35" t="s">
        <v>264</v>
      </c>
      <c r="F22" s="26" t="s">
        <v>131</v>
      </c>
      <c r="G22" s="26" t="s">
        <v>131</v>
      </c>
      <c r="H22" s="29" t="str">
        <f>IF('Categorización'!$E$15="ALTA","ALTO",IF('Categorización'!$E$15="MEDIA","MEDIO","BAJO"))</f>
        <v>ALTO</v>
      </c>
      <c r="I22" s="5" t="s">
        <v>159</v>
      </c>
      <c r="J22" s="21" t="str">
        <f t="shared" si="1"/>
        <v>aplica</v>
      </c>
      <c r="K22" s="5" t="s">
        <v>160</v>
      </c>
      <c r="L22" s="5" t="s">
        <v>160</v>
      </c>
      <c r="M22" s="31" t="s">
        <v>161</v>
      </c>
      <c r="N22" s="5" t="s">
        <v>384</v>
      </c>
      <c r="O22" s="5" t="s">
        <v>605</v>
      </c>
      <c r="P22" s="5" t="s">
        <v>607</v>
      </c>
      <c r="Q22" s="5" t="s">
        <v>160</v>
      </c>
      <c r="R22" s="32" t="s">
        <v>168</v>
      </c>
      <c r="S22" s="33">
        <v>1.0</v>
      </c>
      <c r="T22" s="5" t="s">
        <v>611</v>
      </c>
      <c r="U22" s="5" t="s">
        <v>612</v>
      </c>
      <c r="V22" s="5" t="s">
        <v>613</v>
      </c>
      <c r="W22" s="5" t="s">
        <v>314</v>
      </c>
      <c r="X22" s="5"/>
    </row>
    <row r="23" ht="150.0" customHeight="1">
      <c r="A23" s="5" t="s">
        <v>588</v>
      </c>
      <c r="B23" s="9" t="s">
        <v>618</v>
      </c>
      <c r="C23" s="5" t="s">
        <v>620</v>
      </c>
      <c r="D23" s="5" t="s">
        <v>128</v>
      </c>
      <c r="E23" s="26" t="s">
        <v>131</v>
      </c>
      <c r="F23" s="26" t="s">
        <v>131</v>
      </c>
      <c r="G23" s="26" t="s">
        <v>131</v>
      </c>
      <c r="H23" s="29" t="str">
        <f>IF('Categorización'!$E$15="ALTA","ALTO",IF('Categorización'!$E$15="MEDIA","MEDIO","BAJO"))</f>
        <v>ALTO</v>
      </c>
      <c r="I23" s="5" t="s">
        <v>159</v>
      </c>
      <c r="J23" s="21" t="str">
        <f t="shared" si="1"/>
        <v>aplica</v>
      </c>
      <c r="K23" s="5" t="s">
        <v>160</v>
      </c>
      <c r="L23" s="5" t="s">
        <v>160</v>
      </c>
      <c r="M23" s="31" t="s">
        <v>161</v>
      </c>
      <c r="N23" s="5" t="s">
        <v>360</v>
      </c>
      <c r="O23" s="5" t="s">
        <v>638</v>
      </c>
      <c r="P23" s="5" t="s">
        <v>640</v>
      </c>
      <c r="Q23" s="5" t="s">
        <v>160</v>
      </c>
      <c r="R23" s="32" t="s">
        <v>168</v>
      </c>
      <c r="S23" s="33">
        <v>1.0</v>
      </c>
      <c r="T23" s="5" t="s">
        <v>642</v>
      </c>
      <c r="U23" s="5" t="s">
        <v>173</v>
      </c>
      <c r="V23" s="5" t="s">
        <v>644</v>
      </c>
      <c r="W23" s="5" t="s">
        <v>314</v>
      </c>
      <c r="X23" s="5"/>
    </row>
    <row r="24" ht="150.0" customHeight="1">
      <c r="A24" s="5" t="s">
        <v>588</v>
      </c>
      <c r="B24" s="9" t="s">
        <v>648</v>
      </c>
      <c r="C24" s="5" t="s">
        <v>650</v>
      </c>
      <c r="D24" s="5" t="s">
        <v>128</v>
      </c>
      <c r="E24" s="26" t="s">
        <v>131</v>
      </c>
      <c r="F24" s="26" t="s">
        <v>131</v>
      </c>
      <c r="G24" s="26" t="s">
        <v>131</v>
      </c>
      <c r="H24" s="29" t="str">
        <f>IF('Categorización'!$E$15="ALTA","ALTO",IF('Categorización'!$E$15="MEDIA","MEDIO","BAJO"))</f>
        <v>ALTO</v>
      </c>
      <c r="I24" s="5" t="s">
        <v>159</v>
      </c>
      <c r="J24" s="21" t="str">
        <f t="shared" si="1"/>
        <v>aplica</v>
      </c>
      <c r="K24" s="5" t="s">
        <v>160</v>
      </c>
      <c r="L24" s="5" t="s">
        <v>160</v>
      </c>
      <c r="M24" s="31" t="s">
        <v>161</v>
      </c>
      <c r="N24" s="5" t="s">
        <v>666</v>
      </c>
      <c r="O24" s="5" t="s">
        <v>669</v>
      </c>
      <c r="P24" s="5" t="s">
        <v>671</v>
      </c>
      <c r="Q24" s="5" t="s">
        <v>160</v>
      </c>
      <c r="R24" s="32" t="s">
        <v>168</v>
      </c>
      <c r="S24" s="33">
        <v>1.0</v>
      </c>
      <c r="T24" s="5" t="s">
        <v>674</v>
      </c>
      <c r="U24" s="5" t="s">
        <v>612</v>
      </c>
      <c r="V24" s="5" t="s">
        <v>676</v>
      </c>
      <c r="W24" s="5" t="s">
        <v>314</v>
      </c>
      <c r="X24" s="5"/>
    </row>
    <row r="25" ht="150.0" customHeight="1">
      <c r="A25" s="5" t="s">
        <v>677</v>
      </c>
      <c r="B25" s="9" t="s">
        <v>679</v>
      </c>
      <c r="C25" s="5" t="s">
        <v>680</v>
      </c>
      <c r="D25" s="5" t="s">
        <v>128</v>
      </c>
      <c r="E25" s="26" t="s">
        <v>131</v>
      </c>
      <c r="F25" s="26" t="s">
        <v>131</v>
      </c>
      <c r="G25" s="26" t="s">
        <v>131</v>
      </c>
      <c r="H25" s="29" t="str">
        <f>IF('Categorización'!$E$15="ALTA","ALTO",IF('Categorización'!$E$15="MEDIA","MEDIO","BAJO"))</f>
        <v>ALTO</v>
      </c>
      <c r="I25" s="5" t="s">
        <v>159</v>
      </c>
      <c r="J25" s="21" t="str">
        <f t="shared" si="1"/>
        <v>aplica</v>
      </c>
      <c r="K25" s="5" t="s">
        <v>160</v>
      </c>
      <c r="L25" s="5" t="s">
        <v>160</v>
      </c>
      <c r="M25" s="31" t="s">
        <v>161</v>
      </c>
      <c r="N25" s="5" t="s">
        <v>360</v>
      </c>
      <c r="O25" s="5" t="s">
        <v>694</v>
      </c>
      <c r="P25" s="5" t="s">
        <v>696</v>
      </c>
      <c r="Q25" s="5" t="s">
        <v>160</v>
      </c>
      <c r="R25" s="32" t="s">
        <v>168</v>
      </c>
      <c r="S25" s="33">
        <v>1.0</v>
      </c>
      <c r="T25" s="5" t="s">
        <v>698</v>
      </c>
      <c r="U25" s="5" t="s">
        <v>351</v>
      </c>
      <c r="V25" s="5" t="s">
        <v>699</v>
      </c>
      <c r="W25" s="5" t="s">
        <v>701</v>
      </c>
      <c r="X25" s="5"/>
    </row>
    <row r="26" ht="150.0" customHeight="1">
      <c r="A26" s="5" t="s">
        <v>703</v>
      </c>
      <c r="B26" s="9" t="s">
        <v>704</v>
      </c>
      <c r="C26" s="5" t="s">
        <v>705</v>
      </c>
      <c r="D26" s="5" t="s">
        <v>128</v>
      </c>
      <c r="E26" s="26" t="s">
        <v>131</v>
      </c>
      <c r="F26" s="26" t="s">
        <v>131</v>
      </c>
      <c r="G26" s="26" t="s">
        <v>131</v>
      </c>
      <c r="H26" s="29" t="str">
        <f>IF('Categorización'!$E$15="ALTA","ALTO",IF('Categorización'!$E$15="MEDIA","MEDIO","BAJO"))</f>
        <v>ALTO</v>
      </c>
      <c r="I26" s="5" t="s">
        <v>159</v>
      </c>
      <c r="J26" s="21" t="str">
        <f t="shared" si="1"/>
        <v>aplica</v>
      </c>
      <c r="K26" s="5" t="s">
        <v>160</v>
      </c>
      <c r="L26" s="5" t="s">
        <v>160</v>
      </c>
      <c r="M26" s="31" t="s">
        <v>161</v>
      </c>
      <c r="N26" s="5" t="s">
        <v>500</v>
      </c>
      <c r="O26" s="5" t="s">
        <v>718</v>
      </c>
      <c r="P26" s="5" t="s">
        <v>720</v>
      </c>
      <c r="Q26" s="5" t="s">
        <v>160</v>
      </c>
      <c r="R26" s="32" t="s">
        <v>168</v>
      </c>
      <c r="S26" s="33">
        <v>1.0</v>
      </c>
      <c r="T26" s="5" t="s">
        <v>722</v>
      </c>
      <c r="U26" s="5" t="s">
        <v>351</v>
      </c>
      <c r="V26" s="5" t="s">
        <v>724</v>
      </c>
      <c r="W26" s="5" t="s">
        <v>725</v>
      </c>
      <c r="X26" s="5"/>
    </row>
    <row r="27" ht="150.0" customHeight="1">
      <c r="A27" s="5" t="s">
        <v>703</v>
      </c>
      <c r="B27" s="9" t="s">
        <v>729</v>
      </c>
      <c r="C27" s="5" t="s">
        <v>730</v>
      </c>
      <c r="D27" s="5" t="s">
        <v>128</v>
      </c>
      <c r="E27" s="26" t="s">
        <v>131</v>
      </c>
      <c r="F27" s="26" t="s">
        <v>131</v>
      </c>
      <c r="G27" s="26" t="s">
        <v>131</v>
      </c>
      <c r="H27" s="29" t="str">
        <f>IF('Categorización'!$E$15="ALTA","ALTO",IF('Categorización'!$E$15="MEDIA","MEDIO","BAJO"))</f>
        <v>ALTO</v>
      </c>
      <c r="I27" s="5" t="s">
        <v>159</v>
      </c>
      <c r="J27" s="21" t="str">
        <f t="shared" si="1"/>
        <v>aplica</v>
      </c>
      <c r="K27" s="5" t="s">
        <v>160</v>
      </c>
      <c r="L27" s="5" t="s">
        <v>160</v>
      </c>
      <c r="M27" s="31" t="s">
        <v>161</v>
      </c>
      <c r="N27" s="5" t="s">
        <v>741</v>
      </c>
      <c r="O27" s="5" t="s">
        <v>743</v>
      </c>
      <c r="P27" s="5" t="s">
        <v>744</v>
      </c>
      <c r="Q27" s="5" t="s">
        <v>160</v>
      </c>
      <c r="R27" s="32" t="s">
        <v>168</v>
      </c>
      <c r="S27" s="33">
        <v>1.0</v>
      </c>
      <c r="T27" s="5" t="s">
        <v>745</v>
      </c>
      <c r="U27" s="5" t="s">
        <v>351</v>
      </c>
      <c r="V27" s="5" t="s">
        <v>747</v>
      </c>
      <c r="W27" s="5" t="s">
        <v>725</v>
      </c>
      <c r="X27" s="5"/>
    </row>
    <row r="28" ht="150.0" customHeight="1">
      <c r="A28" s="5" t="s">
        <v>749</v>
      </c>
      <c r="B28" s="9" t="s">
        <v>752</v>
      </c>
      <c r="C28" s="5" t="s">
        <v>754</v>
      </c>
      <c r="D28" s="5" t="s">
        <v>128</v>
      </c>
      <c r="E28" s="26" t="s">
        <v>131</v>
      </c>
      <c r="F28" s="26" t="s">
        <v>131</v>
      </c>
      <c r="G28" s="26" t="s">
        <v>131</v>
      </c>
      <c r="H28" s="29" t="str">
        <f>IF('Categorización'!$E$15="ALTA","ALTO",IF('Categorización'!$E$15="MEDIA","MEDIO","BAJO"))</f>
        <v>ALTO</v>
      </c>
      <c r="I28" s="5" t="s">
        <v>159</v>
      </c>
      <c r="J28" s="21" t="str">
        <f t="shared" si="1"/>
        <v>aplica</v>
      </c>
      <c r="K28" s="5" t="s">
        <v>160</v>
      </c>
      <c r="L28" s="5" t="s">
        <v>160</v>
      </c>
      <c r="M28" s="31" t="s">
        <v>161</v>
      </c>
      <c r="N28" s="5" t="s">
        <v>768</v>
      </c>
      <c r="O28" s="5" t="s">
        <v>769</v>
      </c>
      <c r="P28" s="5" t="s">
        <v>771</v>
      </c>
      <c r="Q28" s="5" t="s">
        <v>160</v>
      </c>
      <c r="R28" s="32" t="s">
        <v>168</v>
      </c>
      <c r="S28" s="33">
        <v>1.0</v>
      </c>
      <c r="T28" s="5" t="s">
        <v>773</v>
      </c>
      <c r="U28" s="5" t="s">
        <v>775</v>
      </c>
      <c r="V28" s="5" t="s">
        <v>778</v>
      </c>
      <c r="W28" s="5" t="s">
        <v>725</v>
      </c>
      <c r="X28" s="5"/>
    </row>
    <row r="29" ht="150.0" customHeight="1">
      <c r="A29" s="5" t="s">
        <v>779</v>
      </c>
      <c r="B29" s="9" t="s">
        <v>780</v>
      </c>
      <c r="C29" s="5" t="s">
        <v>781</v>
      </c>
      <c r="D29" s="5" t="s">
        <v>128</v>
      </c>
      <c r="E29" s="26" t="s">
        <v>131</v>
      </c>
      <c r="F29" s="26" t="s">
        <v>131</v>
      </c>
      <c r="G29" s="26" t="s">
        <v>131</v>
      </c>
      <c r="H29" s="29" t="str">
        <f>IF('Categorización'!$E$15="ALTA","ALTO",IF('Categorización'!$E$15="MEDIA","MEDIO","BAJO"))</f>
        <v>ALTO</v>
      </c>
      <c r="I29" s="5" t="s">
        <v>159</v>
      </c>
      <c r="J29" s="21" t="str">
        <f t="shared" si="1"/>
        <v>aplica</v>
      </c>
      <c r="K29" s="5" t="s">
        <v>160</v>
      </c>
      <c r="L29" s="5" t="s">
        <v>160</v>
      </c>
      <c r="M29" s="31" t="s">
        <v>161</v>
      </c>
      <c r="N29" s="5" t="s">
        <v>791</v>
      </c>
      <c r="O29" s="5" t="s">
        <v>792</v>
      </c>
      <c r="P29" s="5" t="s">
        <v>794</v>
      </c>
      <c r="Q29" s="5" t="s">
        <v>160</v>
      </c>
      <c r="R29" s="32" t="s">
        <v>168</v>
      </c>
      <c r="S29" s="33">
        <v>1.0</v>
      </c>
      <c r="T29" s="5" t="s">
        <v>796</v>
      </c>
      <c r="U29" s="5" t="s">
        <v>351</v>
      </c>
      <c r="V29" s="5" t="s">
        <v>799</v>
      </c>
      <c r="W29" s="5" t="s">
        <v>800</v>
      </c>
      <c r="X29" s="5"/>
    </row>
    <row r="30" ht="150.0" customHeight="1">
      <c r="A30" s="5" t="s">
        <v>256</v>
      </c>
      <c r="B30" s="5" t="s">
        <v>313</v>
      </c>
      <c r="C30" s="5" t="s">
        <v>315</v>
      </c>
      <c r="D30" s="5" t="s">
        <v>261</v>
      </c>
      <c r="E30" s="26" t="s">
        <v>634</v>
      </c>
      <c r="F30" s="26" t="s">
        <v>637</v>
      </c>
      <c r="G30" s="26" t="s">
        <v>637</v>
      </c>
      <c r="H30" s="29" t="str">
        <f>IF(OR('Categorización'!F$14="ALTO",'Categorización'!G$14="ALTO",'Categorización'!H$14="ALTO",'Categorización'!I$14="ALTO"),"ALTO",IF(OR('Categorización'!F$14="MEDIO",'Categorización'!G$14="MEDIO",'Categorización'!H$14="MEDIO",'Categorización'!I$14="MEDIO"),"MEDIO","BAJO"))</f>
        <v>ALTO</v>
      </c>
      <c r="I30" s="5" t="s">
        <v>297</v>
      </c>
      <c r="J30" s="21" t="str">
        <f t="shared" si="1"/>
        <v>+ [R2 o R3 o R4] + R5</v>
      </c>
      <c r="K30" s="5" t="s">
        <v>825</v>
      </c>
      <c r="L30" s="5" t="s">
        <v>322</v>
      </c>
      <c r="M30" s="31" t="s">
        <v>161</v>
      </c>
      <c r="N30" s="5" t="s">
        <v>830</v>
      </c>
      <c r="O30" s="5" t="s">
        <v>831</v>
      </c>
      <c r="P30" s="5" t="s">
        <v>833</v>
      </c>
      <c r="Q30" s="5" t="s">
        <v>160</v>
      </c>
      <c r="R30" s="32" t="s">
        <v>168</v>
      </c>
      <c r="S30" s="33">
        <v>1.0</v>
      </c>
      <c r="T30" s="5" t="s">
        <v>835</v>
      </c>
      <c r="U30" s="5" t="s">
        <v>187</v>
      </c>
      <c r="V30" s="5" t="s">
        <v>836</v>
      </c>
      <c r="W30" s="5" t="s">
        <v>314</v>
      </c>
      <c r="X30" s="5"/>
    </row>
    <row r="31" ht="150.0" customHeight="1">
      <c r="A31" s="5" t="s">
        <v>677</v>
      </c>
      <c r="B31" s="9" t="s">
        <v>686</v>
      </c>
      <c r="C31" s="5" t="s">
        <v>687</v>
      </c>
      <c r="D31" s="5" t="s">
        <v>128</v>
      </c>
      <c r="E31" s="35" t="s">
        <v>264</v>
      </c>
      <c r="F31" s="26" t="s">
        <v>841</v>
      </c>
      <c r="G31" s="26" t="s">
        <v>842</v>
      </c>
      <c r="H31" s="29" t="str">
        <f>IF('Categorización'!$E$15="ALTA","ALTO",IF('Categorización'!$E$15="MEDIA","MEDIO","BAJO"))</f>
        <v>ALTO</v>
      </c>
      <c r="I31" s="5" t="s">
        <v>159</v>
      </c>
      <c r="J31" s="21" t="str">
        <f t="shared" si="1"/>
        <v>+ [R2 o R3] + R4</v>
      </c>
      <c r="K31" s="5" t="s">
        <v>845</v>
      </c>
      <c r="L31" s="5" t="s">
        <v>692</v>
      </c>
      <c r="M31" s="31" t="s">
        <v>161</v>
      </c>
      <c r="N31" s="5" t="s">
        <v>847</v>
      </c>
      <c r="O31" s="5" t="s">
        <v>848</v>
      </c>
      <c r="P31" s="5" t="s">
        <v>849</v>
      </c>
      <c r="Q31" s="5" t="s">
        <v>160</v>
      </c>
      <c r="R31" s="32" t="s">
        <v>168</v>
      </c>
      <c r="S31" s="33">
        <v>1.0</v>
      </c>
      <c r="T31" s="5" t="s">
        <v>850</v>
      </c>
      <c r="U31" s="5" t="s">
        <v>351</v>
      </c>
      <c r="V31" s="5" t="s">
        <v>852</v>
      </c>
      <c r="W31" s="5" t="s">
        <v>701</v>
      </c>
      <c r="X31" s="5"/>
    </row>
    <row r="32" ht="15.75" customHeight="1">
      <c r="A32" s="11" t="s">
        <v>256</v>
      </c>
      <c r="B32" s="14" t="s">
        <v>337</v>
      </c>
      <c r="C32" s="16" t="s">
        <v>339</v>
      </c>
      <c r="D32" s="16" t="s">
        <v>261</v>
      </c>
      <c r="E32" s="17" t="s">
        <v>655</v>
      </c>
      <c r="F32" s="17" t="s">
        <v>657</v>
      </c>
      <c r="G32" s="17" t="s">
        <v>658</v>
      </c>
      <c r="H32" s="19" t="str">
        <f>IF(OR('Categorización'!F$14="ALTO",'Categorización'!G$14="ALTO",'Categorización'!H$14="ALTO",'Categorización'!I$14="ALTO"),"ALTO",IF(OR('Categorización'!F$14="MEDIO",'Categorización'!G$14="MEDIO",'Categorización'!H$14="MEDIO",'Categorización'!I$14="MEDIO"),"MEDIO","BAJO"))</f>
        <v>ALTO</v>
      </c>
      <c r="I32" s="16" t="s">
        <v>297</v>
      </c>
      <c r="J32" s="20" t="str">
        <f t="shared" si="1"/>
        <v>+ [R1 o R2 o R3 o R4] + R5 + R6 + R7 + R8 + R9</v>
      </c>
      <c r="K32" s="16" t="s">
        <v>859</v>
      </c>
      <c r="L32" s="16" t="s">
        <v>344</v>
      </c>
      <c r="M32" s="22" t="s">
        <v>161</v>
      </c>
      <c r="N32" s="16" t="s">
        <v>860</v>
      </c>
      <c r="O32" s="16" t="s">
        <v>862</v>
      </c>
      <c r="P32" s="16" t="s">
        <v>863</v>
      </c>
      <c r="Q32" s="16" t="s">
        <v>160</v>
      </c>
      <c r="R32" s="24" t="s">
        <v>168</v>
      </c>
      <c r="S32" s="25">
        <v>1.0</v>
      </c>
      <c r="T32" s="16" t="s">
        <v>865</v>
      </c>
      <c r="U32" s="16" t="s">
        <v>187</v>
      </c>
      <c r="V32" s="16" t="s">
        <v>867</v>
      </c>
      <c r="W32" s="16" t="s">
        <v>314</v>
      </c>
      <c r="X32" s="16"/>
    </row>
    <row r="33" ht="150.0" customHeight="1">
      <c r="A33" s="5" t="s">
        <v>381</v>
      </c>
      <c r="B33" s="9" t="s">
        <v>751</v>
      </c>
      <c r="C33" s="5" t="s">
        <v>753</v>
      </c>
      <c r="D33" s="5" t="s">
        <v>128</v>
      </c>
      <c r="E33" s="35" t="s">
        <v>264</v>
      </c>
      <c r="F33" s="35" t="s">
        <v>264</v>
      </c>
      <c r="G33" s="26" t="s">
        <v>131</v>
      </c>
      <c r="H33" s="29" t="str">
        <f>IF('Categorización'!$E$15="ALTA","ALTO",IF('Categorización'!$E$15="MEDIA","MEDIO","BAJO"))</f>
        <v>ALTO</v>
      </c>
      <c r="I33" s="5" t="s">
        <v>159</v>
      </c>
      <c r="J33" s="21" t="str">
        <f t="shared" si="1"/>
        <v>aplica</v>
      </c>
      <c r="K33" s="5" t="s">
        <v>160</v>
      </c>
      <c r="L33" s="5" t="s">
        <v>872</v>
      </c>
      <c r="M33" s="31" t="s">
        <v>161</v>
      </c>
      <c r="N33" s="5" t="s">
        <v>874</v>
      </c>
      <c r="O33" s="5" t="s">
        <v>876</v>
      </c>
      <c r="P33" s="5" t="s">
        <v>878</v>
      </c>
      <c r="Q33" s="5" t="s">
        <v>160</v>
      </c>
      <c r="R33" s="32" t="s">
        <v>168</v>
      </c>
      <c r="S33" s="33">
        <v>1.0</v>
      </c>
      <c r="T33" s="5" t="s">
        <v>880</v>
      </c>
      <c r="U33" s="5" t="s">
        <v>173</v>
      </c>
      <c r="V33" s="5" t="s">
        <v>881</v>
      </c>
      <c r="W33" s="5" t="s">
        <v>391</v>
      </c>
      <c r="X33" s="5"/>
    </row>
    <row r="34" ht="150.0" customHeight="1">
      <c r="A34" s="5" t="s">
        <v>883</v>
      </c>
      <c r="B34" s="9" t="s">
        <v>616</v>
      </c>
      <c r="C34" s="5" t="s">
        <v>617</v>
      </c>
      <c r="D34" s="5" t="s">
        <v>81</v>
      </c>
      <c r="E34" s="35" t="s">
        <v>264</v>
      </c>
      <c r="F34" s="26" t="s">
        <v>131</v>
      </c>
      <c r="G34" s="26" t="s">
        <v>275</v>
      </c>
      <c r="H34" s="29" t="str">
        <f>IF(OR('Categorización'!H$14="ALTO"),"ALTO",IF(OR('Categorización'!H$14="MEDIO"),"MEDIO","BAJO"))</f>
        <v>ALTO</v>
      </c>
      <c r="I34" s="5" t="s">
        <v>887</v>
      </c>
      <c r="J34" s="21" t="str">
        <f t="shared" si="1"/>
        <v>+ R1</v>
      </c>
      <c r="K34" s="5" t="s">
        <v>888</v>
      </c>
      <c r="L34" s="5" t="s">
        <v>623</v>
      </c>
      <c r="M34" s="31" t="s">
        <v>161</v>
      </c>
      <c r="N34" s="5" t="s">
        <v>889</v>
      </c>
      <c r="O34" s="5" t="s">
        <v>890</v>
      </c>
      <c r="P34" s="5" t="s">
        <v>891</v>
      </c>
      <c r="Q34" s="5" t="s">
        <v>160</v>
      </c>
      <c r="R34" s="32" t="s">
        <v>168</v>
      </c>
      <c r="S34" s="33">
        <v>1.0</v>
      </c>
      <c r="T34" s="5" t="s">
        <v>893</v>
      </c>
      <c r="U34" s="5" t="s">
        <v>351</v>
      </c>
      <c r="V34" s="5" t="s">
        <v>894</v>
      </c>
      <c r="W34" s="5" t="s">
        <v>895</v>
      </c>
      <c r="X34" s="5"/>
    </row>
    <row r="35" ht="150.0" customHeight="1">
      <c r="A35" s="5" t="s">
        <v>703</v>
      </c>
      <c r="B35" s="9" t="s">
        <v>875</v>
      </c>
      <c r="C35" s="5" t="s">
        <v>877</v>
      </c>
      <c r="D35" s="5" t="s">
        <v>80</v>
      </c>
      <c r="E35" s="35" t="s">
        <v>264</v>
      </c>
      <c r="F35" s="26" t="s">
        <v>131</v>
      </c>
      <c r="G35" s="26" t="s">
        <v>131</v>
      </c>
      <c r="H35" s="29" t="str">
        <f>IF(OR('Categorización'!G$14="ALTO"),"ALTO",IF(OR('Categorización'!G$14="MEDIO"),"MEDIO","BAJO"))</f>
        <v>ALTO</v>
      </c>
      <c r="I35" s="5" t="s">
        <v>900</v>
      </c>
      <c r="J35" s="21" t="str">
        <f t="shared" si="1"/>
        <v>aplica</v>
      </c>
      <c r="K35" s="5" t="s">
        <v>160</v>
      </c>
      <c r="L35" s="5" t="s">
        <v>901</v>
      </c>
      <c r="M35" s="31" t="s">
        <v>161</v>
      </c>
      <c r="N35" s="5" t="s">
        <v>903</v>
      </c>
      <c r="O35" s="5" t="s">
        <v>906</v>
      </c>
      <c r="P35" s="5" t="s">
        <v>907</v>
      </c>
      <c r="Q35" s="5" t="s">
        <v>160</v>
      </c>
      <c r="R35" s="32" t="s">
        <v>168</v>
      </c>
      <c r="S35" s="33">
        <v>1.0</v>
      </c>
      <c r="T35" s="5" t="s">
        <v>908</v>
      </c>
      <c r="U35" s="5" t="s">
        <v>351</v>
      </c>
      <c r="V35" s="5" t="s">
        <v>909</v>
      </c>
      <c r="W35" s="5" t="s">
        <v>725</v>
      </c>
      <c r="X35" s="5"/>
    </row>
    <row r="36" ht="150.0" customHeight="1">
      <c r="A36" s="5" t="s">
        <v>749</v>
      </c>
      <c r="B36" s="9" t="s">
        <v>904</v>
      </c>
      <c r="C36" s="5" t="s">
        <v>905</v>
      </c>
      <c r="D36" s="5" t="s">
        <v>80</v>
      </c>
      <c r="E36" s="35" t="s">
        <v>264</v>
      </c>
      <c r="F36" s="26" t="s">
        <v>131</v>
      </c>
      <c r="G36" s="26" t="s">
        <v>131</v>
      </c>
      <c r="H36" s="29" t="str">
        <f>IF(OR('Categorización'!G$14="ALTO"),"ALTO",IF(OR('Categorización'!G$14="MEDIO"),"MEDIO","BAJO"))</f>
        <v>ALTO</v>
      </c>
      <c r="I36" s="5" t="s">
        <v>900</v>
      </c>
      <c r="J36" s="21" t="str">
        <f t="shared" si="1"/>
        <v>aplica</v>
      </c>
      <c r="K36" s="5" t="s">
        <v>160</v>
      </c>
      <c r="L36" s="5" t="s">
        <v>901</v>
      </c>
      <c r="M36" s="31" t="s">
        <v>161</v>
      </c>
      <c r="N36" s="5" t="s">
        <v>917</v>
      </c>
      <c r="O36" s="5" t="s">
        <v>919</v>
      </c>
      <c r="P36" s="5" t="s">
        <v>920</v>
      </c>
      <c r="Q36" s="5" t="s">
        <v>160</v>
      </c>
      <c r="R36" s="32" t="s">
        <v>168</v>
      </c>
      <c r="S36" s="33">
        <v>1.0</v>
      </c>
      <c r="T36" s="5" t="s">
        <v>922</v>
      </c>
      <c r="U36" s="5" t="s">
        <v>173</v>
      </c>
      <c r="V36" s="5" t="s">
        <v>923</v>
      </c>
      <c r="W36" s="5" t="s">
        <v>725</v>
      </c>
      <c r="X36" s="5"/>
    </row>
    <row r="37" ht="15.75" customHeight="1">
      <c r="A37" s="11" t="s">
        <v>749</v>
      </c>
      <c r="B37" s="14" t="s">
        <v>916</v>
      </c>
      <c r="C37" s="16" t="s">
        <v>918</v>
      </c>
      <c r="D37" s="16" t="s">
        <v>80</v>
      </c>
      <c r="E37" s="17" t="s">
        <v>131</v>
      </c>
      <c r="F37" s="17" t="s">
        <v>131</v>
      </c>
      <c r="G37" s="17" t="s">
        <v>131</v>
      </c>
      <c r="H37" s="19" t="str">
        <f>IF(OR('Categorización'!G$14="ALTO"),"ALTO",IF(OR('Categorización'!G$14="MEDIO"),"MEDIO","BAJO"))</f>
        <v>ALTO</v>
      </c>
      <c r="I37" s="16" t="s">
        <v>900</v>
      </c>
      <c r="J37" s="20" t="str">
        <f t="shared" si="1"/>
        <v>aplica</v>
      </c>
      <c r="K37" s="16" t="s">
        <v>160</v>
      </c>
      <c r="L37" s="16" t="s">
        <v>901</v>
      </c>
      <c r="M37" s="22" t="s">
        <v>161</v>
      </c>
      <c r="N37" s="16" t="s">
        <v>929</v>
      </c>
      <c r="O37" s="16" t="s">
        <v>930</v>
      </c>
      <c r="P37" s="16" t="s">
        <v>931</v>
      </c>
      <c r="Q37" s="16" t="s">
        <v>160</v>
      </c>
      <c r="R37" s="24" t="s">
        <v>168</v>
      </c>
      <c r="S37" s="25">
        <v>1.0</v>
      </c>
      <c r="T37" s="16" t="s">
        <v>933</v>
      </c>
      <c r="U37" s="16" t="s">
        <v>173</v>
      </c>
      <c r="V37" s="16" t="s">
        <v>934</v>
      </c>
      <c r="W37" s="16" t="s">
        <v>725</v>
      </c>
      <c r="X37" s="16"/>
    </row>
    <row r="38" ht="150.0" customHeight="1">
      <c r="A38" s="5" t="s">
        <v>883</v>
      </c>
      <c r="B38" s="9" t="s">
        <v>633</v>
      </c>
      <c r="C38" s="5" t="s">
        <v>635</v>
      </c>
      <c r="D38" s="5" t="s">
        <v>80</v>
      </c>
      <c r="E38" s="26" t="s">
        <v>131</v>
      </c>
      <c r="F38" s="26" t="s">
        <v>275</v>
      </c>
      <c r="G38" s="26" t="s">
        <v>275</v>
      </c>
      <c r="H38" s="29" t="str">
        <f>IF(OR('Categorización'!G$14="ALTO"),"ALTO",IF(OR('Categorización'!G$14="MEDIO"),"MEDIO","BAJO"))</f>
        <v>ALTO</v>
      </c>
      <c r="I38" s="5" t="s">
        <v>900</v>
      </c>
      <c r="J38" s="21" t="str">
        <f t="shared" si="1"/>
        <v>+ R1</v>
      </c>
      <c r="K38" s="5" t="s">
        <v>938</v>
      </c>
      <c r="L38" s="5" t="s">
        <v>643</v>
      </c>
      <c r="M38" s="31" t="s">
        <v>161</v>
      </c>
      <c r="N38" s="5" t="s">
        <v>939</v>
      </c>
      <c r="O38" s="5" t="s">
        <v>940</v>
      </c>
      <c r="P38" s="5" t="s">
        <v>942</v>
      </c>
      <c r="Q38" s="5" t="s">
        <v>160</v>
      </c>
      <c r="R38" s="32" t="s">
        <v>168</v>
      </c>
      <c r="S38" s="33">
        <v>1.0</v>
      </c>
      <c r="T38" s="5" t="s">
        <v>943</v>
      </c>
      <c r="U38" s="5" t="s">
        <v>351</v>
      </c>
      <c r="V38" s="5" t="s">
        <v>944</v>
      </c>
      <c r="W38" s="5" t="s">
        <v>895</v>
      </c>
      <c r="X38" s="5"/>
    </row>
    <row r="39" ht="15.75" customHeight="1">
      <c r="A39" s="11" t="s">
        <v>703</v>
      </c>
      <c r="B39" s="14" t="s">
        <v>726</v>
      </c>
      <c r="C39" s="16" t="s">
        <v>727</v>
      </c>
      <c r="D39" s="16" t="s">
        <v>80</v>
      </c>
      <c r="E39" s="17" t="s">
        <v>131</v>
      </c>
      <c r="F39" s="17" t="s">
        <v>275</v>
      </c>
      <c r="G39" s="17" t="s">
        <v>275</v>
      </c>
      <c r="H39" s="19" t="str">
        <f>IF(OR('Categorización'!G$14="ALTO"),"ALTO",IF(OR('Categorización'!G$14="MEDIO"),"MEDIO","BAJO"))</f>
        <v>ALTO</v>
      </c>
      <c r="I39" s="16" t="s">
        <v>900</v>
      </c>
      <c r="J39" s="20" t="str">
        <f t="shared" si="1"/>
        <v>+ R1</v>
      </c>
      <c r="K39" s="16" t="s">
        <v>938</v>
      </c>
      <c r="L39" s="16" t="s">
        <v>643</v>
      </c>
      <c r="M39" s="22" t="s">
        <v>161</v>
      </c>
      <c r="N39" s="16" t="s">
        <v>946</v>
      </c>
      <c r="O39" s="16" t="s">
        <v>947</v>
      </c>
      <c r="P39" s="16" t="s">
        <v>948</v>
      </c>
      <c r="Q39" s="16" t="s">
        <v>160</v>
      </c>
      <c r="R39" s="24" t="s">
        <v>168</v>
      </c>
      <c r="S39" s="25">
        <v>1.0</v>
      </c>
      <c r="T39" s="16" t="s">
        <v>949</v>
      </c>
      <c r="U39" s="16" t="s">
        <v>351</v>
      </c>
      <c r="V39" s="16" t="s">
        <v>950</v>
      </c>
      <c r="W39" s="16" t="s">
        <v>725</v>
      </c>
      <c r="X39" s="16"/>
    </row>
    <row r="40" ht="150.0" customHeight="1">
      <c r="A40" s="5" t="s">
        <v>412</v>
      </c>
      <c r="B40" s="9" t="s">
        <v>774</v>
      </c>
      <c r="C40" s="5" t="s">
        <v>776</v>
      </c>
      <c r="D40" s="5" t="s">
        <v>77</v>
      </c>
      <c r="E40" s="35" t="s">
        <v>264</v>
      </c>
      <c r="F40" s="26" t="s">
        <v>131</v>
      </c>
      <c r="G40" s="26" t="s">
        <v>131</v>
      </c>
      <c r="H40" s="29" t="str">
        <f>IF(OR('Categorización'!E$14="ALTO"),"ALTO",IF(OR('Categorización'!E$14="MEDIO"),"MEDIO","BAJO"))</f>
        <v>ALTO</v>
      </c>
      <c r="I40" s="5" t="s">
        <v>425</v>
      </c>
      <c r="J40" s="21" t="str">
        <f t="shared" si="1"/>
        <v>aplica</v>
      </c>
      <c r="K40" s="5" t="s">
        <v>160</v>
      </c>
      <c r="L40" s="5" t="s">
        <v>951</v>
      </c>
      <c r="M40" s="31" t="s">
        <v>161</v>
      </c>
      <c r="N40" s="5" t="s">
        <v>952</v>
      </c>
      <c r="O40" s="5" t="s">
        <v>953</v>
      </c>
      <c r="P40" s="5" t="s">
        <v>954</v>
      </c>
      <c r="Q40" s="5" t="s">
        <v>160</v>
      </c>
      <c r="R40" s="32" t="s">
        <v>168</v>
      </c>
      <c r="S40" s="33">
        <v>1.0</v>
      </c>
      <c r="T40" s="5" t="s">
        <v>955</v>
      </c>
      <c r="U40" s="5" t="s">
        <v>173</v>
      </c>
      <c r="V40" s="5" t="s">
        <v>956</v>
      </c>
      <c r="W40" s="5" t="s">
        <v>432</v>
      </c>
      <c r="X40" s="5"/>
    </row>
    <row r="41" ht="150.0" customHeight="1">
      <c r="A41" s="5" t="s">
        <v>208</v>
      </c>
      <c r="B41" s="9" t="s">
        <v>289</v>
      </c>
      <c r="C41" s="5" t="s">
        <v>290</v>
      </c>
      <c r="D41" s="5" t="s">
        <v>77</v>
      </c>
      <c r="E41" s="26" t="s">
        <v>131</v>
      </c>
      <c r="F41" s="26" t="s">
        <v>275</v>
      </c>
      <c r="G41" s="26" t="s">
        <v>275</v>
      </c>
      <c r="H41" s="29" t="str">
        <f>IF(OR('Categorización'!E$14="ALTO"),"ALTO",IF(OR('Categorización'!E$14="MEDIO"),"MEDIO","BAJO"))</f>
        <v>ALTO</v>
      </c>
      <c r="I41" s="5" t="s">
        <v>425</v>
      </c>
      <c r="J41" s="21" t="str">
        <f t="shared" si="1"/>
        <v>+ R1</v>
      </c>
      <c r="K41" s="5" t="s">
        <v>957</v>
      </c>
      <c r="L41" s="5" t="s">
        <v>293</v>
      </c>
      <c r="M41" s="31" t="s">
        <v>161</v>
      </c>
      <c r="N41" s="5" t="s">
        <v>958</v>
      </c>
      <c r="O41" s="5" t="s">
        <v>959</v>
      </c>
      <c r="P41" s="5" t="s">
        <v>960</v>
      </c>
      <c r="Q41" s="5" t="s">
        <v>160</v>
      </c>
      <c r="R41" s="32" t="s">
        <v>168</v>
      </c>
      <c r="S41" s="33">
        <v>1.0</v>
      </c>
      <c r="T41" s="5" t="s">
        <v>961</v>
      </c>
      <c r="U41" s="5" t="s">
        <v>351</v>
      </c>
      <c r="V41" s="5" t="s">
        <v>962</v>
      </c>
      <c r="W41" s="5" t="s">
        <v>254</v>
      </c>
      <c r="X41" s="5"/>
    </row>
    <row r="42" ht="150.0" customHeight="1">
      <c r="A42" s="5" t="s">
        <v>470</v>
      </c>
      <c r="B42" s="9" t="s">
        <v>595</v>
      </c>
      <c r="C42" s="5" t="s">
        <v>596</v>
      </c>
      <c r="D42" s="5" t="s">
        <v>77</v>
      </c>
      <c r="E42" s="26" t="s">
        <v>131</v>
      </c>
      <c r="F42" s="26" t="s">
        <v>275</v>
      </c>
      <c r="G42" s="26" t="s">
        <v>275</v>
      </c>
      <c r="H42" s="29" t="str">
        <f>IF(OR('Categorización'!E$14="ALTO"),"ALTO",IF(OR('Categorización'!E$14="MEDIO"),"MEDIO","BAJO"))</f>
        <v>ALTO</v>
      </c>
      <c r="I42" s="5" t="s">
        <v>425</v>
      </c>
      <c r="J42" s="21" t="str">
        <f t="shared" si="1"/>
        <v>+ R1</v>
      </c>
      <c r="K42" s="5" t="s">
        <v>963</v>
      </c>
      <c r="L42" s="5" t="s">
        <v>293</v>
      </c>
      <c r="M42" s="31" t="s">
        <v>161</v>
      </c>
      <c r="N42" s="5" t="s">
        <v>965</v>
      </c>
      <c r="O42" s="5" t="s">
        <v>966</v>
      </c>
      <c r="P42" s="5" t="s">
        <v>967</v>
      </c>
      <c r="Q42" s="5" t="s">
        <v>160</v>
      </c>
      <c r="R42" s="32" t="s">
        <v>168</v>
      </c>
      <c r="S42" s="33">
        <v>1.0</v>
      </c>
      <c r="T42" s="5" t="s">
        <v>969</v>
      </c>
      <c r="U42" s="5" t="s">
        <v>487</v>
      </c>
      <c r="V42" s="5" t="s">
        <v>970</v>
      </c>
      <c r="W42" s="5" t="s">
        <v>489</v>
      </c>
      <c r="X42" s="5"/>
    </row>
    <row r="43" ht="150.0" customHeight="1">
      <c r="A43" s="5" t="s">
        <v>779</v>
      </c>
      <c r="B43" s="9" t="s">
        <v>826</v>
      </c>
      <c r="C43" s="5" t="s">
        <v>828</v>
      </c>
      <c r="D43" s="5" t="s">
        <v>77</v>
      </c>
      <c r="E43" s="35" t="s">
        <v>264</v>
      </c>
      <c r="F43" s="26" t="s">
        <v>131</v>
      </c>
      <c r="G43" s="26" t="s">
        <v>275</v>
      </c>
      <c r="H43" s="29" t="str">
        <f>IF(OR('Categorización'!E$14="ALTO"),"ALTO",IF(OR('Categorización'!E$14="MEDIO"),"MEDIO","BAJO"))</f>
        <v>ALTO</v>
      </c>
      <c r="I43" s="5" t="s">
        <v>425</v>
      </c>
      <c r="J43" s="21" t="str">
        <f t="shared" si="1"/>
        <v>+ R1</v>
      </c>
      <c r="K43" s="5" t="s">
        <v>975</v>
      </c>
      <c r="L43" s="5" t="s">
        <v>293</v>
      </c>
      <c r="M43" s="31" t="s">
        <v>161</v>
      </c>
      <c r="N43" s="5" t="s">
        <v>977</v>
      </c>
      <c r="O43" s="5" t="s">
        <v>978</v>
      </c>
      <c r="P43" s="5" t="s">
        <v>979</v>
      </c>
      <c r="Q43" s="5" t="s">
        <v>160</v>
      </c>
      <c r="R43" s="32" t="s">
        <v>168</v>
      </c>
      <c r="S43" s="33">
        <v>1.0</v>
      </c>
      <c r="T43" s="5" t="s">
        <v>980</v>
      </c>
      <c r="U43" s="5" t="s">
        <v>379</v>
      </c>
      <c r="V43" s="5" t="s">
        <v>981</v>
      </c>
      <c r="W43" s="5" t="s">
        <v>800</v>
      </c>
      <c r="X43" s="5"/>
    </row>
    <row r="44" ht="15.75" customHeight="1">
      <c r="A44" s="11" t="s">
        <v>749</v>
      </c>
      <c r="B44" s="14" t="s">
        <v>788</v>
      </c>
      <c r="C44" s="16" t="s">
        <v>417</v>
      </c>
      <c r="D44" s="16" t="s">
        <v>77</v>
      </c>
      <c r="E44" s="17" t="s">
        <v>131</v>
      </c>
      <c r="F44" s="17" t="s">
        <v>275</v>
      </c>
      <c r="G44" s="17" t="s">
        <v>689</v>
      </c>
      <c r="H44" s="19" t="str">
        <f>IF(OR('Categorización'!E$14="ALTO"),"ALTO",IF(OR('Categorización'!E$14="MEDIO"),"MEDIO","BAJO"))</f>
        <v>ALTO</v>
      </c>
      <c r="I44" s="16" t="s">
        <v>425</v>
      </c>
      <c r="J44" s="20" t="str">
        <f t="shared" si="1"/>
        <v>+ R1 + R2</v>
      </c>
      <c r="K44" s="16" t="s">
        <v>988</v>
      </c>
      <c r="L44" s="16" t="s">
        <v>795</v>
      </c>
      <c r="M44" s="22" t="s">
        <v>161</v>
      </c>
      <c r="N44" s="16" t="s">
        <v>989</v>
      </c>
      <c r="O44" s="16" t="s">
        <v>990</v>
      </c>
      <c r="P44" s="16" t="s">
        <v>991</v>
      </c>
      <c r="Q44" s="16" t="s">
        <v>160</v>
      </c>
      <c r="R44" s="24" t="s">
        <v>168</v>
      </c>
      <c r="S44" s="25">
        <v>1.0</v>
      </c>
      <c r="T44" s="16" t="s">
        <v>992</v>
      </c>
      <c r="U44" s="16" t="s">
        <v>351</v>
      </c>
      <c r="V44" s="16" t="s">
        <v>993</v>
      </c>
      <c r="W44" s="16" t="s">
        <v>725</v>
      </c>
      <c r="X44" s="16"/>
    </row>
    <row r="45" ht="150.0" customHeight="1">
      <c r="A45" s="5" t="s">
        <v>340</v>
      </c>
      <c r="B45" s="9" t="s">
        <v>466</v>
      </c>
      <c r="C45" s="5" t="s">
        <v>468</v>
      </c>
      <c r="D45" s="5" t="s">
        <v>82</v>
      </c>
      <c r="E45" s="26" t="s">
        <v>131</v>
      </c>
      <c r="F45" s="26" t="s">
        <v>707</v>
      </c>
      <c r="G45" s="26" t="s">
        <v>719</v>
      </c>
      <c r="H45" s="48" t="str">
        <f>IF(OR('Categorización'!I$14="ALTO"),"ALTO",IF(OR('Categorización'!I$14="MEDIO"),"MEDIO","BAJO"))</f>
        <v>MEDIO</v>
      </c>
      <c r="I45" s="5" t="s">
        <v>1004</v>
      </c>
      <c r="J45" s="21" t="str">
        <f t="shared" si="1"/>
        <v>+ R1 + R2 + R3 + R4</v>
      </c>
      <c r="K45" s="5" t="s">
        <v>1005</v>
      </c>
      <c r="L45" s="5" t="s">
        <v>474</v>
      </c>
      <c r="M45" s="31" t="s">
        <v>161</v>
      </c>
      <c r="N45" s="5" t="s">
        <v>1006</v>
      </c>
      <c r="O45" s="5" t="s">
        <v>1007</v>
      </c>
      <c r="P45" s="5" t="s">
        <v>1008</v>
      </c>
      <c r="Q45" s="5" t="s">
        <v>160</v>
      </c>
      <c r="R45" s="32" t="s">
        <v>168</v>
      </c>
      <c r="S45" s="33">
        <v>1.0</v>
      </c>
      <c r="T45" s="5" t="s">
        <v>1009</v>
      </c>
      <c r="U45" s="5" t="s">
        <v>379</v>
      </c>
      <c r="V45" s="5" t="s">
        <v>1010</v>
      </c>
      <c r="W45" s="5" t="s">
        <v>353</v>
      </c>
      <c r="X45" s="5"/>
    </row>
    <row r="46" ht="150.0" customHeight="1">
      <c r="A46" s="5" t="s">
        <v>749</v>
      </c>
      <c r="B46" s="9" t="s">
        <v>762</v>
      </c>
      <c r="C46" s="5" t="s">
        <v>763</v>
      </c>
      <c r="D46" s="5" t="s">
        <v>868</v>
      </c>
      <c r="E46" s="26" t="s">
        <v>131</v>
      </c>
      <c r="F46" s="26" t="s">
        <v>574</v>
      </c>
      <c r="G46" s="26" t="s">
        <v>707</v>
      </c>
      <c r="H46" s="29" t="str">
        <f>IF(OR('Categorización'!F$14="ALTO",'Categorización'!H$14="ALTO"),"ALTO",IF(OR('Categorización'!F$14="MEDIO",'Categorización'!H$14="MEDIO"),"MEDIO","BAJO"))</f>
        <v>ALTO</v>
      </c>
      <c r="I46" s="5" t="s">
        <v>1011</v>
      </c>
      <c r="J46" s="21" t="str">
        <f t="shared" si="1"/>
        <v>+ R1 + R2 + R3 + R4</v>
      </c>
      <c r="K46" s="5" t="s">
        <v>1012</v>
      </c>
      <c r="L46" s="5" t="s">
        <v>767</v>
      </c>
      <c r="M46" s="31" t="s">
        <v>161</v>
      </c>
      <c r="N46" s="5" t="s">
        <v>1013</v>
      </c>
      <c r="O46" s="5" t="s">
        <v>1014</v>
      </c>
      <c r="P46" s="5" t="s">
        <v>1015</v>
      </c>
      <c r="Q46" s="5" t="s">
        <v>160</v>
      </c>
      <c r="R46" s="32" t="s">
        <v>168</v>
      </c>
      <c r="S46" s="33">
        <v>1.0</v>
      </c>
      <c r="T46" s="5" t="s">
        <v>1016</v>
      </c>
      <c r="U46" s="5" t="s">
        <v>187</v>
      </c>
      <c r="V46" s="5" t="s">
        <v>1017</v>
      </c>
      <c r="W46" s="5" t="s">
        <v>725</v>
      </c>
      <c r="X46" s="5"/>
    </row>
    <row r="47" ht="150.0" customHeight="1">
      <c r="A47" s="5" t="s">
        <v>256</v>
      </c>
      <c r="B47" s="9" t="s">
        <v>294</v>
      </c>
      <c r="C47" s="5" t="s">
        <v>295</v>
      </c>
      <c r="D47" s="5" t="s">
        <v>600</v>
      </c>
      <c r="E47" s="26" t="s">
        <v>131</v>
      </c>
      <c r="F47" s="26" t="s">
        <v>275</v>
      </c>
      <c r="G47" s="26" t="s">
        <v>275</v>
      </c>
      <c r="H47" s="29" t="str">
        <f>IF(OR('Categorización'!H$14="ALTO",'Categorización'!I$14="ALTO"),"ALTO",IF(OR('Categorización'!H$14="MEDIO",'Categorización'!I$14="MEDIO"),"MEDIO","BAJO"))</f>
        <v>ALTO</v>
      </c>
      <c r="I47" s="5" t="s">
        <v>1018</v>
      </c>
      <c r="J47" s="21" t="str">
        <f t="shared" si="1"/>
        <v>+ R1</v>
      </c>
      <c r="K47" s="5" t="s">
        <v>1019</v>
      </c>
      <c r="L47" s="5" t="s">
        <v>299</v>
      </c>
      <c r="M47" s="31" t="s">
        <v>161</v>
      </c>
      <c r="N47" s="5" t="s">
        <v>1020</v>
      </c>
      <c r="O47" s="5" t="s">
        <v>1021</v>
      </c>
      <c r="P47" s="5" t="s">
        <v>1022</v>
      </c>
      <c r="Q47" s="5" t="s">
        <v>160</v>
      </c>
      <c r="R47" s="32" t="s">
        <v>168</v>
      </c>
      <c r="S47" s="33">
        <v>1.0</v>
      </c>
      <c r="T47" s="5" t="s">
        <v>1023</v>
      </c>
      <c r="U47" s="5" t="s">
        <v>187</v>
      </c>
      <c r="V47" s="5" t="s">
        <v>1024</v>
      </c>
      <c r="W47" s="5" t="s">
        <v>314</v>
      </c>
      <c r="X47" s="5"/>
    </row>
    <row r="48" ht="15.75" customHeight="1">
      <c r="A48" s="11" t="s">
        <v>749</v>
      </c>
      <c r="B48" s="14" t="s">
        <v>913</v>
      </c>
      <c r="C48" s="16" t="s">
        <v>914</v>
      </c>
      <c r="D48" s="16" t="s">
        <v>82</v>
      </c>
      <c r="E48" s="37" t="s">
        <v>264</v>
      </c>
      <c r="F48" s="37" t="s">
        <v>264</v>
      </c>
      <c r="G48" s="17" t="s">
        <v>131</v>
      </c>
      <c r="H48" s="49" t="str">
        <f>IF(OR('Categorización'!I$14="ALTO"),"ALTO",IF(OR('Categorización'!I$14="MEDIO"),"MEDIO","BAJO"))</f>
        <v>MEDIO</v>
      </c>
      <c r="I48" s="16" t="s">
        <v>1004</v>
      </c>
      <c r="J48" s="20" t="str">
        <f t="shared" si="1"/>
        <v>n.a.</v>
      </c>
      <c r="K48" s="16" t="s">
        <v>264</v>
      </c>
      <c r="L48" s="16" t="s">
        <v>1025</v>
      </c>
      <c r="M48" s="50" t="s">
        <v>1026</v>
      </c>
      <c r="N48" s="16" t="s">
        <v>1027</v>
      </c>
      <c r="O48" s="16" t="s">
        <v>1028</v>
      </c>
      <c r="P48" s="16" t="s">
        <v>1029</v>
      </c>
      <c r="Q48" s="16" t="s">
        <v>160</v>
      </c>
      <c r="R48" s="51" t="s">
        <v>1030</v>
      </c>
      <c r="S48" s="25"/>
      <c r="T48" s="16" t="s">
        <v>1031</v>
      </c>
      <c r="U48" s="16" t="s">
        <v>187</v>
      </c>
      <c r="V48" s="16" t="s">
        <v>1032</v>
      </c>
      <c r="W48" s="16" t="s">
        <v>725</v>
      </c>
      <c r="X48" s="16"/>
    </row>
    <row r="49" ht="15.75" customHeight="1">
      <c r="A49" s="52" t="s">
        <v>1033</v>
      </c>
      <c r="B49" s="53"/>
      <c r="C49" s="53"/>
      <c r="D49" s="53"/>
      <c r="E49" s="53"/>
      <c r="F49" s="53"/>
      <c r="G49" s="53"/>
      <c r="H49" s="53"/>
      <c r="I49" s="53"/>
      <c r="J49" s="53"/>
      <c r="K49" s="53"/>
      <c r="L49" s="53"/>
      <c r="M49" s="53"/>
      <c r="N49" s="53"/>
      <c r="O49" s="53"/>
      <c r="P49" s="53"/>
      <c r="Q49" s="53"/>
      <c r="R49" s="53"/>
      <c r="S49" s="53"/>
      <c r="T49" s="53"/>
      <c r="U49" s="53"/>
      <c r="V49" s="53"/>
      <c r="W49" s="53"/>
      <c r="X49" s="53"/>
    </row>
    <row r="50" ht="150.0" customHeight="1">
      <c r="A50" s="54" t="s">
        <v>1034</v>
      </c>
      <c r="B50" s="28"/>
      <c r="C50" s="28"/>
      <c r="D50" s="28"/>
      <c r="E50" s="28"/>
      <c r="F50" s="28"/>
      <c r="G50" s="28"/>
      <c r="H50" s="28"/>
      <c r="I50" s="28"/>
      <c r="J50" s="28"/>
      <c r="K50" s="28"/>
      <c r="L50" s="28"/>
      <c r="M50" s="28"/>
      <c r="N50" s="28"/>
      <c r="O50" s="28"/>
      <c r="P50" s="28"/>
      <c r="Q50" s="28"/>
      <c r="R50" s="28"/>
      <c r="S50" s="28"/>
      <c r="T50" s="28"/>
      <c r="U50" s="28"/>
      <c r="V50" s="28"/>
      <c r="W50" s="28"/>
      <c r="X50" s="30"/>
    </row>
    <row r="51" ht="150.0" customHeight="1">
      <c r="A51" s="54" t="s">
        <v>1035</v>
      </c>
      <c r="B51" s="28"/>
      <c r="C51" s="28"/>
      <c r="D51" s="28"/>
      <c r="E51" s="28"/>
      <c r="F51" s="28"/>
      <c r="G51" s="28"/>
      <c r="H51" s="28"/>
      <c r="I51" s="28"/>
      <c r="J51" s="28"/>
      <c r="K51" s="28"/>
      <c r="L51" s="28"/>
      <c r="M51" s="28"/>
      <c r="N51" s="28"/>
      <c r="O51" s="28"/>
      <c r="P51" s="28"/>
      <c r="Q51" s="28"/>
      <c r="R51" s="28"/>
      <c r="S51" s="28"/>
      <c r="T51" s="28"/>
      <c r="U51" s="28"/>
      <c r="V51" s="28"/>
      <c r="W51" s="28"/>
      <c r="X51" s="30"/>
    </row>
    <row r="52" ht="150.0" customHeight="1">
      <c r="A52" s="54" t="s">
        <v>1036</v>
      </c>
      <c r="B52" s="28"/>
      <c r="C52" s="28"/>
      <c r="D52" s="28"/>
      <c r="E52" s="28"/>
      <c r="F52" s="28"/>
      <c r="G52" s="28"/>
      <c r="H52" s="28"/>
      <c r="I52" s="28"/>
      <c r="J52" s="28"/>
      <c r="K52" s="28"/>
      <c r="L52" s="28"/>
      <c r="M52" s="28"/>
      <c r="N52" s="28"/>
      <c r="O52" s="28"/>
      <c r="P52" s="28"/>
      <c r="Q52" s="28"/>
      <c r="R52" s="28"/>
      <c r="S52" s="28"/>
      <c r="T52" s="28"/>
      <c r="U52" s="28"/>
      <c r="V52" s="28"/>
      <c r="W52" s="28"/>
      <c r="X52" s="30"/>
    </row>
    <row r="53" ht="150.0" customHeight="1">
      <c r="A53" s="54" t="s">
        <v>1037</v>
      </c>
      <c r="B53" s="28"/>
      <c r="C53" s="28"/>
      <c r="D53" s="28"/>
      <c r="E53" s="28"/>
      <c r="F53" s="28"/>
      <c r="G53" s="28"/>
      <c r="H53" s="28"/>
      <c r="I53" s="28"/>
      <c r="J53" s="28"/>
      <c r="K53" s="28"/>
      <c r="L53" s="28"/>
      <c r="M53" s="28"/>
      <c r="N53" s="28"/>
      <c r="O53" s="28"/>
      <c r="P53" s="28"/>
      <c r="Q53" s="28"/>
      <c r="R53" s="28"/>
      <c r="S53" s="28"/>
      <c r="T53" s="28"/>
      <c r="U53" s="28"/>
      <c r="V53" s="28"/>
      <c r="W53" s="28"/>
      <c r="X53" s="30"/>
    </row>
    <row r="54" ht="150.0" customHeight="1">
      <c r="A54" s="54" t="s">
        <v>1038</v>
      </c>
      <c r="B54" s="28"/>
      <c r="C54" s="28"/>
      <c r="D54" s="28"/>
      <c r="E54" s="28"/>
      <c r="F54" s="28"/>
      <c r="G54" s="28"/>
      <c r="H54" s="28"/>
      <c r="I54" s="28"/>
      <c r="J54" s="28"/>
      <c r="K54" s="28"/>
      <c r="L54" s="28"/>
      <c r="M54" s="28"/>
      <c r="N54" s="28"/>
      <c r="O54" s="28"/>
      <c r="P54" s="28"/>
      <c r="Q54" s="28"/>
      <c r="R54" s="28"/>
      <c r="S54" s="28"/>
      <c r="T54" s="28"/>
      <c r="U54" s="28"/>
      <c r="V54" s="28"/>
      <c r="W54" s="28"/>
      <c r="X54" s="30"/>
    </row>
    <row r="55" ht="150.0" customHeight="1">
      <c r="A55" s="54" t="s">
        <v>1039</v>
      </c>
      <c r="B55" s="28"/>
      <c r="C55" s="28"/>
      <c r="D55" s="28"/>
      <c r="E55" s="28"/>
      <c r="F55" s="28"/>
      <c r="G55" s="28"/>
      <c r="H55" s="28"/>
      <c r="I55" s="28"/>
      <c r="J55" s="28"/>
      <c r="K55" s="28"/>
      <c r="L55" s="28"/>
      <c r="M55" s="28"/>
      <c r="N55" s="28"/>
      <c r="O55" s="28"/>
      <c r="P55" s="28"/>
      <c r="Q55" s="28"/>
      <c r="R55" s="28"/>
      <c r="S55" s="28"/>
      <c r="T55" s="28"/>
      <c r="U55" s="28"/>
      <c r="V55" s="28"/>
      <c r="W55" s="28"/>
      <c r="X55" s="30"/>
    </row>
    <row r="56" ht="150.0" customHeight="1">
      <c r="A56" s="54" t="s">
        <v>1040</v>
      </c>
      <c r="B56" s="28"/>
      <c r="C56" s="28"/>
      <c r="D56" s="28"/>
      <c r="E56" s="28"/>
      <c r="F56" s="28"/>
      <c r="G56" s="28"/>
      <c r="H56" s="28"/>
      <c r="I56" s="28"/>
      <c r="J56" s="28"/>
      <c r="K56" s="28"/>
      <c r="L56" s="28"/>
      <c r="M56" s="28"/>
      <c r="N56" s="28"/>
      <c r="O56" s="28"/>
      <c r="P56" s="28"/>
      <c r="Q56" s="28"/>
      <c r="R56" s="28"/>
      <c r="S56" s="28"/>
      <c r="T56" s="28"/>
      <c r="U56" s="28"/>
      <c r="V56" s="28"/>
      <c r="W56" s="28"/>
      <c r="X56" s="30"/>
    </row>
    <row r="57" ht="15.75" customHeight="1">
      <c r="A57" s="55" t="s">
        <v>1041</v>
      </c>
      <c r="B57" s="53"/>
      <c r="C57" s="53"/>
      <c r="D57" s="53"/>
      <c r="E57" s="53"/>
      <c r="F57" s="53"/>
      <c r="G57" s="53"/>
      <c r="H57" s="53"/>
      <c r="I57" s="53"/>
      <c r="J57" s="53"/>
      <c r="K57" s="53"/>
      <c r="L57" s="53"/>
      <c r="M57" s="53"/>
      <c r="N57" s="53"/>
      <c r="O57" s="53"/>
      <c r="P57" s="53"/>
      <c r="Q57" s="53"/>
      <c r="R57" s="53"/>
      <c r="S57" s="53"/>
      <c r="T57" s="53"/>
      <c r="U57" s="53"/>
      <c r="V57" s="53"/>
      <c r="W57" s="53"/>
      <c r="X57" s="53"/>
    </row>
    <row r="58" ht="150.0" customHeight="1">
      <c r="A58" s="56" t="s">
        <v>1042</v>
      </c>
      <c r="B58" s="28"/>
      <c r="C58" s="28"/>
      <c r="D58" s="28"/>
      <c r="E58" s="28"/>
      <c r="F58" s="28"/>
      <c r="G58" s="28"/>
      <c r="H58" s="28"/>
      <c r="I58" s="28"/>
      <c r="J58" s="28"/>
      <c r="K58" s="28"/>
      <c r="L58" s="28"/>
      <c r="M58" s="28"/>
      <c r="N58" s="28"/>
      <c r="O58" s="28"/>
      <c r="P58" s="28"/>
      <c r="Q58" s="28"/>
      <c r="R58" s="28"/>
      <c r="S58" s="28"/>
      <c r="T58" s="28"/>
      <c r="U58" s="28"/>
      <c r="V58" s="28"/>
      <c r="W58" s="28"/>
      <c r="X58" s="30"/>
    </row>
    <row r="59" ht="150.0" customHeight="1">
      <c r="A59" s="54" t="s">
        <v>1043</v>
      </c>
      <c r="B59" s="28"/>
      <c r="C59" s="28"/>
      <c r="D59" s="28"/>
      <c r="E59" s="28"/>
      <c r="F59" s="28"/>
      <c r="G59" s="28"/>
      <c r="H59" s="28"/>
      <c r="I59" s="28"/>
      <c r="J59" s="28"/>
      <c r="K59" s="28"/>
      <c r="L59" s="28"/>
      <c r="M59" s="28"/>
      <c r="N59" s="28"/>
      <c r="O59" s="28"/>
      <c r="P59" s="28"/>
      <c r="Q59" s="28"/>
      <c r="R59" s="28"/>
      <c r="S59" s="28"/>
      <c r="T59" s="28"/>
      <c r="U59" s="28"/>
      <c r="V59" s="28"/>
      <c r="W59" s="28"/>
      <c r="X59" s="30"/>
    </row>
    <row r="60" ht="150.0" customHeight="1">
      <c r="A60" s="54" t="s">
        <v>1045</v>
      </c>
      <c r="B60" s="28"/>
      <c r="C60" s="28"/>
      <c r="D60" s="28"/>
      <c r="E60" s="28"/>
      <c r="F60" s="28"/>
      <c r="G60" s="28"/>
      <c r="H60" s="28"/>
      <c r="I60" s="28"/>
      <c r="J60" s="28"/>
      <c r="K60" s="28"/>
      <c r="L60" s="28"/>
      <c r="M60" s="28"/>
      <c r="N60" s="28"/>
      <c r="O60" s="28"/>
      <c r="P60" s="28"/>
      <c r="Q60" s="28"/>
      <c r="R60" s="28"/>
      <c r="S60" s="28"/>
      <c r="T60" s="28"/>
      <c r="U60" s="28"/>
      <c r="V60" s="28"/>
      <c r="W60" s="28"/>
      <c r="X60" s="30"/>
    </row>
    <row r="61" ht="150.0" customHeight="1">
      <c r="A61" s="54" t="s">
        <v>1046</v>
      </c>
      <c r="B61" s="28"/>
      <c r="C61" s="28"/>
      <c r="D61" s="28"/>
      <c r="E61" s="28"/>
      <c r="F61" s="28"/>
      <c r="G61" s="28"/>
      <c r="H61" s="28"/>
      <c r="I61" s="28"/>
      <c r="J61" s="28"/>
      <c r="K61" s="28"/>
      <c r="L61" s="28"/>
      <c r="M61" s="28"/>
      <c r="N61" s="28"/>
      <c r="O61" s="28"/>
      <c r="P61" s="28"/>
      <c r="Q61" s="28"/>
      <c r="R61" s="28"/>
      <c r="S61" s="28"/>
      <c r="T61" s="28"/>
      <c r="U61" s="28"/>
      <c r="V61" s="28"/>
      <c r="W61" s="28"/>
      <c r="X61" s="30"/>
    </row>
    <row r="62" ht="15.75" customHeight="1">
      <c r="A62" s="55" t="s">
        <v>1047</v>
      </c>
      <c r="B62" s="53"/>
      <c r="C62" s="53"/>
      <c r="D62" s="53"/>
      <c r="E62" s="53"/>
      <c r="F62" s="53"/>
      <c r="G62" s="53"/>
      <c r="H62" s="53"/>
      <c r="I62" s="53"/>
      <c r="J62" s="53"/>
      <c r="K62" s="53"/>
      <c r="L62" s="53"/>
      <c r="M62" s="53"/>
      <c r="N62" s="53"/>
      <c r="O62" s="53"/>
      <c r="P62" s="53"/>
      <c r="Q62" s="53"/>
      <c r="R62" s="53"/>
      <c r="S62" s="53"/>
      <c r="T62" s="53"/>
      <c r="U62" s="53"/>
      <c r="V62" s="53"/>
      <c r="W62" s="53"/>
      <c r="X62" s="53"/>
    </row>
    <row r="63" ht="150.0" customHeight="1">
      <c r="A63" s="54" t="s">
        <v>1048</v>
      </c>
      <c r="B63" s="28"/>
      <c r="C63" s="28"/>
      <c r="D63" s="28"/>
      <c r="E63" s="28"/>
      <c r="F63" s="28"/>
      <c r="G63" s="28"/>
      <c r="H63" s="28"/>
      <c r="I63" s="28"/>
      <c r="J63" s="28"/>
      <c r="K63" s="28"/>
      <c r="L63" s="28"/>
      <c r="M63" s="28"/>
      <c r="N63" s="28"/>
      <c r="O63" s="28"/>
      <c r="P63" s="28"/>
      <c r="Q63" s="28"/>
      <c r="R63" s="28"/>
      <c r="S63" s="28"/>
      <c r="T63" s="28"/>
      <c r="U63" s="28"/>
      <c r="V63" s="28"/>
      <c r="W63" s="28"/>
      <c r="X63" s="30"/>
    </row>
    <row r="64" ht="150.0" customHeight="1">
      <c r="A64" s="54" t="s">
        <v>1049</v>
      </c>
      <c r="B64" s="28"/>
      <c r="C64" s="28"/>
      <c r="D64" s="28"/>
      <c r="E64" s="28"/>
      <c r="F64" s="28"/>
      <c r="G64" s="28"/>
      <c r="H64" s="28"/>
      <c r="I64" s="28"/>
      <c r="J64" s="28"/>
      <c r="K64" s="28"/>
      <c r="L64" s="28"/>
      <c r="M64" s="28"/>
      <c r="N64" s="28"/>
      <c r="O64" s="28"/>
      <c r="P64" s="28"/>
      <c r="Q64" s="28"/>
      <c r="R64" s="28"/>
      <c r="S64" s="28"/>
      <c r="T64" s="28"/>
      <c r="U64" s="28"/>
      <c r="V64" s="28"/>
      <c r="W64" s="28"/>
      <c r="X64" s="30"/>
    </row>
    <row r="65" ht="150.0" customHeight="1">
      <c r="A65" s="54" t="s">
        <v>1050</v>
      </c>
      <c r="B65" s="28"/>
      <c r="C65" s="28"/>
      <c r="D65" s="28"/>
      <c r="E65" s="28"/>
      <c r="F65" s="28"/>
      <c r="G65" s="28"/>
      <c r="H65" s="28"/>
      <c r="I65" s="28"/>
      <c r="J65" s="28"/>
      <c r="K65" s="28"/>
      <c r="L65" s="28"/>
      <c r="M65" s="28"/>
      <c r="N65" s="28"/>
      <c r="O65" s="28"/>
      <c r="P65" s="28"/>
      <c r="Q65" s="28"/>
      <c r="R65" s="28"/>
      <c r="S65" s="28"/>
      <c r="T65" s="28"/>
      <c r="U65" s="28"/>
      <c r="V65" s="28"/>
      <c r="W65" s="28"/>
      <c r="X65" s="30"/>
    </row>
    <row r="66" ht="150.0" customHeight="1">
      <c r="A66" s="56" t="s">
        <v>1051</v>
      </c>
      <c r="B66" s="28"/>
      <c r="C66" s="28"/>
      <c r="D66" s="28"/>
      <c r="E66" s="28"/>
      <c r="F66" s="28"/>
      <c r="G66" s="28"/>
      <c r="H66" s="28"/>
      <c r="I66" s="28"/>
      <c r="J66" s="28"/>
      <c r="K66" s="28"/>
      <c r="L66" s="28"/>
      <c r="M66" s="28"/>
      <c r="N66" s="28"/>
      <c r="O66" s="28"/>
      <c r="P66" s="28"/>
      <c r="Q66" s="28"/>
      <c r="R66" s="28"/>
      <c r="S66" s="28"/>
      <c r="T66" s="28"/>
      <c r="U66" s="28"/>
      <c r="V66" s="28"/>
      <c r="W66" s="28"/>
      <c r="X66" s="30"/>
    </row>
    <row r="67" ht="15.75" customHeight="1">
      <c r="A67" s="11" t="s">
        <v>340</v>
      </c>
      <c r="B67" s="14" t="s">
        <v>495</v>
      </c>
      <c r="C67" s="16" t="s">
        <v>496</v>
      </c>
      <c r="D67" s="16" t="s">
        <v>128</v>
      </c>
      <c r="E67" s="17" t="s">
        <v>131</v>
      </c>
      <c r="F67" s="17" t="s">
        <v>275</v>
      </c>
      <c r="G67" s="17" t="s">
        <v>275</v>
      </c>
      <c r="H67" s="19" t="str">
        <f>IF('Categorización'!$E$15="ALTA","ALTO",IF('Categorización'!$E$15="MEDIA","MEDIO","BAJO"))</f>
        <v>ALTO</v>
      </c>
      <c r="I67" s="16" t="s">
        <v>159</v>
      </c>
      <c r="J67" s="20" t="str">
        <f t="shared" ref="J67:J92" si="2">IF(H67="ALTO",G67,IF(H67="MEDIO",F67,E67))</f>
        <v>+ R1</v>
      </c>
      <c r="K67" s="16" t="s">
        <v>1052</v>
      </c>
      <c r="L67" s="16" t="s">
        <v>499</v>
      </c>
      <c r="M67" s="22" t="s">
        <v>161</v>
      </c>
      <c r="N67" s="16" t="s">
        <v>1053</v>
      </c>
      <c r="O67" s="16" t="s">
        <v>1054</v>
      </c>
      <c r="P67" s="16" t="s">
        <v>1055</v>
      </c>
      <c r="Q67" s="16" t="s">
        <v>160</v>
      </c>
      <c r="R67" s="24" t="s">
        <v>168</v>
      </c>
      <c r="S67" s="25">
        <v>1.0</v>
      </c>
      <c r="T67" s="16" t="s">
        <v>1056</v>
      </c>
      <c r="U67" s="16" t="s">
        <v>173</v>
      </c>
      <c r="V67" s="16" t="s">
        <v>1057</v>
      </c>
      <c r="W67" s="16" t="s">
        <v>353</v>
      </c>
      <c r="X67" s="16"/>
    </row>
    <row r="68" ht="150.0" customHeight="1">
      <c r="A68" s="5" t="s">
        <v>381</v>
      </c>
      <c r="B68" s="9" t="s">
        <v>501</v>
      </c>
      <c r="C68" s="5" t="s">
        <v>503</v>
      </c>
      <c r="D68" s="5" t="s">
        <v>128</v>
      </c>
      <c r="E68" s="35" t="s">
        <v>264</v>
      </c>
      <c r="F68" s="26" t="s">
        <v>131</v>
      </c>
      <c r="G68" s="26" t="s">
        <v>275</v>
      </c>
      <c r="H68" s="29" t="str">
        <f>IF('Categorización'!$E$15="ALTA","ALTO",IF('Categorización'!$E$15="MEDIA","MEDIO","BAJO"))</f>
        <v>ALTO</v>
      </c>
      <c r="I68" s="5" t="s">
        <v>159</v>
      </c>
      <c r="J68" s="21" t="str">
        <f t="shared" si="2"/>
        <v>+ R1</v>
      </c>
      <c r="K68" s="5" t="s">
        <v>1058</v>
      </c>
      <c r="L68" s="5" t="s">
        <v>499</v>
      </c>
      <c r="M68" s="31" t="s">
        <v>161</v>
      </c>
      <c r="N68" s="5" t="s">
        <v>1059</v>
      </c>
      <c r="O68" s="5" t="s">
        <v>1060</v>
      </c>
      <c r="P68" s="5" t="s">
        <v>1061</v>
      </c>
      <c r="Q68" s="5" t="s">
        <v>160</v>
      </c>
      <c r="R68" s="32" t="s">
        <v>168</v>
      </c>
      <c r="S68" s="33">
        <v>1.0</v>
      </c>
      <c r="T68" s="5" t="s">
        <v>1062</v>
      </c>
      <c r="U68" s="5" t="s">
        <v>187</v>
      </c>
      <c r="V68" s="5" t="s">
        <v>1063</v>
      </c>
      <c r="W68" s="5" t="s">
        <v>391</v>
      </c>
      <c r="X68" s="5"/>
    </row>
    <row r="69" ht="150.0" customHeight="1">
      <c r="A69" s="5" t="s">
        <v>588</v>
      </c>
      <c r="B69" s="9" t="s">
        <v>601</v>
      </c>
      <c r="C69" s="5" t="s">
        <v>602</v>
      </c>
      <c r="D69" s="5" t="s">
        <v>128</v>
      </c>
      <c r="E69" s="26" t="s">
        <v>131</v>
      </c>
      <c r="F69" s="26" t="s">
        <v>275</v>
      </c>
      <c r="G69" s="26" t="s">
        <v>275</v>
      </c>
      <c r="H69" s="29" t="str">
        <f>IF('Categorización'!$E$15="ALTA","ALTO",IF('Categorización'!$E$15="MEDIA","MEDIO","BAJO"))</f>
        <v>ALTO</v>
      </c>
      <c r="I69" s="5" t="s">
        <v>159</v>
      </c>
      <c r="J69" s="21" t="str">
        <f t="shared" si="2"/>
        <v>+ R1</v>
      </c>
      <c r="K69" s="5" t="s">
        <v>1064</v>
      </c>
      <c r="L69" s="5" t="s">
        <v>499</v>
      </c>
      <c r="M69" s="31" t="s">
        <v>161</v>
      </c>
      <c r="N69" s="5" t="s">
        <v>1065</v>
      </c>
      <c r="O69" s="5" t="s">
        <v>1066</v>
      </c>
      <c r="P69" s="5" t="s">
        <v>1067</v>
      </c>
      <c r="Q69" s="5" t="s">
        <v>160</v>
      </c>
      <c r="R69" s="32" t="s">
        <v>168</v>
      </c>
      <c r="S69" s="33">
        <v>1.0</v>
      </c>
      <c r="T69" s="5" t="s">
        <v>1068</v>
      </c>
      <c r="U69" s="5" t="s">
        <v>612</v>
      </c>
      <c r="V69" s="5" t="s">
        <v>1069</v>
      </c>
      <c r="W69" s="5" t="s">
        <v>314</v>
      </c>
      <c r="X69" s="5"/>
    </row>
    <row r="70" ht="150.0" customHeight="1">
      <c r="A70" s="5" t="s">
        <v>883</v>
      </c>
      <c r="B70" s="9" t="s">
        <v>606</v>
      </c>
      <c r="C70" s="5" t="s">
        <v>608</v>
      </c>
      <c r="D70" s="5" t="s">
        <v>128</v>
      </c>
      <c r="E70" s="26" t="s">
        <v>131</v>
      </c>
      <c r="F70" s="26" t="s">
        <v>275</v>
      </c>
      <c r="G70" s="26" t="s">
        <v>275</v>
      </c>
      <c r="H70" s="29" t="str">
        <f>IF('Categorización'!$E$15="ALTA","ALTO",IF('Categorización'!$E$15="MEDIA","MEDIO","BAJO"))</f>
        <v>ALTO</v>
      </c>
      <c r="I70" s="5" t="s">
        <v>159</v>
      </c>
      <c r="J70" s="21" t="str">
        <f t="shared" si="2"/>
        <v>+ R1</v>
      </c>
      <c r="K70" s="5" t="s">
        <v>1071</v>
      </c>
      <c r="L70" s="5" t="s">
        <v>499</v>
      </c>
      <c r="M70" s="31" t="s">
        <v>161</v>
      </c>
      <c r="N70" s="5" t="s">
        <v>1072</v>
      </c>
      <c r="O70" s="5" t="s">
        <v>1073</v>
      </c>
      <c r="P70" s="5" t="s">
        <v>1074</v>
      </c>
      <c r="Q70" s="5" t="s">
        <v>160</v>
      </c>
      <c r="R70" s="32" t="s">
        <v>168</v>
      </c>
      <c r="S70" s="33">
        <v>1.0</v>
      </c>
      <c r="T70" s="5" t="s">
        <v>1075</v>
      </c>
      <c r="U70" s="5" t="s">
        <v>173</v>
      </c>
      <c r="V70" s="5" t="s">
        <v>1076</v>
      </c>
      <c r="W70" s="5" t="s">
        <v>895</v>
      </c>
      <c r="X70" s="5"/>
    </row>
    <row r="71" ht="150.0" customHeight="1">
      <c r="A71" s="5" t="s">
        <v>1044</v>
      </c>
      <c r="B71" s="9" t="s">
        <v>758</v>
      </c>
      <c r="C71" s="5" t="s">
        <v>759</v>
      </c>
      <c r="D71" s="5" t="s">
        <v>128</v>
      </c>
      <c r="E71" s="26" t="s">
        <v>131</v>
      </c>
      <c r="F71" s="26" t="s">
        <v>275</v>
      </c>
      <c r="G71" s="26" t="s">
        <v>275</v>
      </c>
      <c r="H71" s="29" t="str">
        <f>IF('Categorización'!$E$15="ALTA","ALTO",IF('Categorización'!$E$15="MEDIA","MEDIO","BAJO"))</f>
        <v>ALTO</v>
      </c>
      <c r="I71" s="5" t="s">
        <v>159</v>
      </c>
      <c r="J71" s="21" t="str">
        <f t="shared" si="2"/>
        <v>+ R1</v>
      </c>
      <c r="K71" s="5" t="s">
        <v>1078</v>
      </c>
      <c r="L71" s="5" t="s">
        <v>499</v>
      </c>
      <c r="M71" s="31" t="s">
        <v>161</v>
      </c>
      <c r="N71" s="5" t="s">
        <v>1079</v>
      </c>
      <c r="O71" s="5" t="s">
        <v>1080</v>
      </c>
      <c r="P71" s="5" t="s">
        <v>1081</v>
      </c>
      <c r="Q71" s="5" t="s">
        <v>160</v>
      </c>
      <c r="R71" s="32" t="s">
        <v>168</v>
      </c>
      <c r="S71" s="33">
        <v>1.0</v>
      </c>
      <c r="T71" s="5" t="s">
        <v>1082</v>
      </c>
      <c r="U71" s="5" t="s">
        <v>1083</v>
      </c>
      <c r="V71" s="5" t="s">
        <v>1084</v>
      </c>
      <c r="W71" s="5" t="s">
        <v>1085</v>
      </c>
      <c r="X71" s="5"/>
    </row>
    <row r="72" ht="15.75" customHeight="1">
      <c r="A72" s="11" t="s">
        <v>779</v>
      </c>
      <c r="B72" s="14" t="s">
        <v>820</v>
      </c>
      <c r="C72" s="16" t="s">
        <v>821</v>
      </c>
      <c r="D72" s="16" t="s">
        <v>128</v>
      </c>
      <c r="E72" s="17" t="s">
        <v>131</v>
      </c>
      <c r="F72" s="17" t="s">
        <v>131</v>
      </c>
      <c r="G72" s="17" t="s">
        <v>275</v>
      </c>
      <c r="H72" s="19" t="str">
        <f>IF('Categorización'!$E$15="ALTA","ALTO",IF('Categorización'!$E$15="MEDIA","MEDIO","BAJO"))</f>
        <v>ALTO</v>
      </c>
      <c r="I72" s="16" t="s">
        <v>159</v>
      </c>
      <c r="J72" s="20" t="str">
        <f t="shared" si="2"/>
        <v>+ R1</v>
      </c>
      <c r="K72" s="16" t="s">
        <v>1086</v>
      </c>
      <c r="L72" s="16" t="s">
        <v>499</v>
      </c>
      <c r="M72" s="22" t="s">
        <v>161</v>
      </c>
      <c r="N72" s="16" t="s">
        <v>1087</v>
      </c>
      <c r="O72" s="16" t="s">
        <v>1088</v>
      </c>
      <c r="P72" s="16" t="s">
        <v>1089</v>
      </c>
      <c r="Q72" s="16" t="s">
        <v>160</v>
      </c>
      <c r="R72" s="24" t="s">
        <v>168</v>
      </c>
      <c r="S72" s="25">
        <v>1.0</v>
      </c>
      <c r="T72" s="16" t="s">
        <v>1090</v>
      </c>
      <c r="U72" s="16" t="s">
        <v>351</v>
      </c>
      <c r="V72" s="16" t="s">
        <v>1091</v>
      </c>
      <c r="W72" s="16" t="s">
        <v>800</v>
      </c>
      <c r="X72" s="16"/>
    </row>
    <row r="73" ht="150.0" customHeight="1">
      <c r="A73" s="5" t="s">
        <v>256</v>
      </c>
      <c r="B73" s="9" t="s">
        <v>300</v>
      </c>
      <c r="C73" s="5" t="s">
        <v>302</v>
      </c>
      <c r="D73" s="5" t="s">
        <v>261</v>
      </c>
      <c r="E73" s="26" t="s">
        <v>131</v>
      </c>
      <c r="F73" s="26" t="s">
        <v>131</v>
      </c>
      <c r="G73" s="26" t="s">
        <v>275</v>
      </c>
      <c r="H73" s="29" t="str">
        <f>IF(OR('Categorización'!F$14="ALTO",'Categorización'!G$14="ALTO",'Categorización'!H$14="ALTO",'Categorización'!I$14="ALTO"),"ALTO",IF(OR('Categorización'!F$14="MEDIO",'Categorización'!G$14="MEDIO",'Categorización'!H$14="MEDIO",'Categorización'!I$14="MEDIO"),"MEDIO","BAJO"))</f>
        <v>ALTO</v>
      </c>
      <c r="I73" s="5" t="s">
        <v>297</v>
      </c>
      <c r="J73" s="21" t="str">
        <f t="shared" si="2"/>
        <v>+ R1</v>
      </c>
      <c r="K73" s="5" t="s">
        <v>1092</v>
      </c>
      <c r="L73" s="5" t="s">
        <v>306</v>
      </c>
      <c r="M73" s="31" t="s">
        <v>161</v>
      </c>
      <c r="N73" s="5" t="s">
        <v>1093</v>
      </c>
      <c r="O73" s="5" t="s">
        <v>1094</v>
      </c>
      <c r="P73" s="5" t="s">
        <v>1095</v>
      </c>
      <c r="Q73" s="5" t="s">
        <v>160</v>
      </c>
      <c r="R73" s="32" t="s">
        <v>168</v>
      </c>
      <c r="S73" s="33">
        <v>1.0</v>
      </c>
      <c r="T73" s="5" t="s">
        <v>1096</v>
      </c>
      <c r="U73" s="5" t="s">
        <v>187</v>
      </c>
      <c r="V73" s="5" t="s">
        <v>1097</v>
      </c>
      <c r="W73" s="5" t="s">
        <v>314</v>
      </c>
      <c r="X73" s="5"/>
    </row>
    <row r="74" ht="150.0" customHeight="1">
      <c r="A74" s="5" t="s">
        <v>703</v>
      </c>
      <c r="B74" s="9" t="s">
        <v>712</v>
      </c>
      <c r="C74" s="5" t="s">
        <v>713</v>
      </c>
      <c r="D74" s="5" t="s">
        <v>882</v>
      </c>
      <c r="E74" s="35" t="s">
        <v>264</v>
      </c>
      <c r="F74" s="26" t="s">
        <v>131</v>
      </c>
      <c r="G74" s="26" t="s">
        <v>689</v>
      </c>
      <c r="H74" s="29" t="str">
        <f>IF(OR('Categorización'!F$14="ALTO",'Categorización'!G$14="ALTO"),"ALTO",IF(OR('Categorización'!F$14="MEDIO",'Categorización'!G$14="MEDIO"),"MEDIO","BAJO"))</f>
        <v>ALTO</v>
      </c>
      <c r="I74" s="5" t="s">
        <v>1098</v>
      </c>
      <c r="J74" s="21" t="str">
        <f t="shared" si="2"/>
        <v>+ R1 + R2</v>
      </c>
      <c r="K74" s="5" t="s">
        <v>1099</v>
      </c>
      <c r="L74" s="5" t="s">
        <v>716</v>
      </c>
      <c r="M74" s="57" t="s">
        <v>1100</v>
      </c>
      <c r="N74" s="5" t="s">
        <v>1101</v>
      </c>
      <c r="O74" s="5" t="s">
        <v>1102</v>
      </c>
      <c r="P74" s="5" t="s">
        <v>1103</v>
      </c>
      <c r="Q74" s="5" t="s">
        <v>268</v>
      </c>
      <c r="R74" s="36" t="s">
        <v>1104</v>
      </c>
      <c r="S74" s="33">
        <v>0.9</v>
      </c>
      <c r="T74" s="5" t="s">
        <v>1105</v>
      </c>
      <c r="U74" s="5" t="s">
        <v>351</v>
      </c>
      <c r="V74" s="5" t="s">
        <v>1106</v>
      </c>
      <c r="W74" s="5" t="s">
        <v>725</v>
      </c>
      <c r="X74" s="5"/>
    </row>
    <row r="75" ht="150.0" customHeight="1">
      <c r="A75" s="5" t="s">
        <v>340</v>
      </c>
      <c r="B75" s="9" t="s">
        <v>419</v>
      </c>
      <c r="C75" s="5" t="s">
        <v>420</v>
      </c>
      <c r="D75" s="5" t="s">
        <v>128</v>
      </c>
      <c r="E75" s="26" t="s">
        <v>131</v>
      </c>
      <c r="F75" s="26" t="s">
        <v>275</v>
      </c>
      <c r="G75" s="26" t="s">
        <v>689</v>
      </c>
      <c r="H75" s="29" t="str">
        <f>IF('Categorización'!$E$15="ALTA","ALTO",IF('Categorización'!$E$15="MEDIA","MEDIO","BAJO"))</f>
        <v>ALTO</v>
      </c>
      <c r="I75" s="5" t="s">
        <v>159</v>
      </c>
      <c r="J75" s="21" t="str">
        <f t="shared" si="2"/>
        <v>+ R1 + R2</v>
      </c>
      <c r="K75" s="5" t="s">
        <v>1107</v>
      </c>
      <c r="L75" s="5" t="s">
        <v>423</v>
      </c>
      <c r="M75" s="31" t="s">
        <v>161</v>
      </c>
      <c r="N75" s="5" t="s">
        <v>1108</v>
      </c>
      <c r="O75" s="5" t="s">
        <v>1109</v>
      </c>
      <c r="P75" s="5" t="s">
        <v>1110</v>
      </c>
      <c r="Q75" s="5" t="s">
        <v>160</v>
      </c>
      <c r="R75" s="32" t="s">
        <v>168</v>
      </c>
      <c r="S75" s="33">
        <v>1.0</v>
      </c>
      <c r="T75" s="5" t="s">
        <v>1111</v>
      </c>
      <c r="U75" s="5" t="s">
        <v>351</v>
      </c>
      <c r="V75" s="5" t="s">
        <v>1112</v>
      </c>
      <c r="W75" s="5" t="s">
        <v>353</v>
      </c>
      <c r="X75" s="5"/>
    </row>
    <row r="76" ht="150.0" customHeight="1">
      <c r="A76" s="5" t="s">
        <v>945</v>
      </c>
      <c r="B76" s="9" t="s">
        <v>511</v>
      </c>
      <c r="C76" s="5" t="s">
        <v>512</v>
      </c>
      <c r="D76" s="5" t="s">
        <v>128</v>
      </c>
      <c r="E76" s="26" t="s">
        <v>131</v>
      </c>
      <c r="F76" s="26" t="s">
        <v>275</v>
      </c>
      <c r="G76" s="26" t="s">
        <v>689</v>
      </c>
      <c r="H76" s="29" t="str">
        <f>IF('Categorización'!$E$15="ALTA","ALTO",IF('Categorización'!$E$15="MEDIA","MEDIO","BAJO"))</f>
        <v>ALTO</v>
      </c>
      <c r="I76" s="5" t="s">
        <v>159</v>
      </c>
      <c r="J76" s="21" t="str">
        <f t="shared" si="2"/>
        <v>+ R1 + R2</v>
      </c>
      <c r="K76" s="5" t="s">
        <v>1113</v>
      </c>
      <c r="L76" s="5" t="s">
        <v>423</v>
      </c>
      <c r="M76" s="31" t="s">
        <v>161</v>
      </c>
      <c r="N76" s="5" t="s">
        <v>1114</v>
      </c>
      <c r="O76" s="5" t="s">
        <v>1115</v>
      </c>
      <c r="P76" s="5" t="s">
        <v>1116</v>
      </c>
      <c r="Q76" s="5" t="s">
        <v>160</v>
      </c>
      <c r="R76" s="32" t="s">
        <v>168</v>
      </c>
      <c r="S76" s="33">
        <v>1.0</v>
      </c>
      <c r="T76" s="5" t="s">
        <v>1117</v>
      </c>
      <c r="U76" s="5" t="s">
        <v>187</v>
      </c>
      <c r="V76" s="5" t="s">
        <v>1118</v>
      </c>
      <c r="W76" s="5" t="s">
        <v>1119</v>
      </c>
      <c r="X76" s="5"/>
    </row>
    <row r="77" ht="150.0" customHeight="1">
      <c r="A77" s="5" t="s">
        <v>984</v>
      </c>
      <c r="B77" s="9" t="s">
        <v>524</v>
      </c>
      <c r="C77" s="5" t="s">
        <v>526</v>
      </c>
      <c r="D77" s="5" t="s">
        <v>128</v>
      </c>
      <c r="E77" s="26" t="s">
        <v>131</v>
      </c>
      <c r="F77" s="26" t="s">
        <v>275</v>
      </c>
      <c r="G77" s="26" t="s">
        <v>689</v>
      </c>
      <c r="H77" s="29" t="str">
        <f>IF('Categorización'!$E$15="ALTA","ALTO",IF('Categorización'!$E$15="MEDIA","MEDIO","BAJO"))</f>
        <v>ALTO</v>
      </c>
      <c r="I77" s="5" t="s">
        <v>159</v>
      </c>
      <c r="J77" s="21" t="str">
        <f t="shared" si="2"/>
        <v>+ R1 + R2</v>
      </c>
      <c r="K77" s="5" t="s">
        <v>1120</v>
      </c>
      <c r="L77" s="5" t="s">
        <v>423</v>
      </c>
      <c r="M77" s="31" t="s">
        <v>161</v>
      </c>
      <c r="N77" s="5" t="s">
        <v>1121</v>
      </c>
      <c r="O77" s="5" t="s">
        <v>1122</v>
      </c>
      <c r="P77" s="5" t="s">
        <v>1123</v>
      </c>
      <c r="Q77" s="5" t="s">
        <v>160</v>
      </c>
      <c r="R77" s="32" t="s">
        <v>168</v>
      </c>
      <c r="S77" s="33">
        <v>1.0</v>
      </c>
      <c r="T77" s="5" t="s">
        <v>1124</v>
      </c>
      <c r="U77" s="5" t="s">
        <v>379</v>
      </c>
      <c r="V77" s="5" t="s">
        <v>1125</v>
      </c>
      <c r="W77" s="5" t="s">
        <v>1126</v>
      </c>
      <c r="X77" s="5"/>
    </row>
    <row r="78" ht="15.75" customHeight="1">
      <c r="A78" s="11" t="s">
        <v>984</v>
      </c>
      <c r="B78" s="14" t="s">
        <v>542</v>
      </c>
      <c r="C78" s="16" t="s">
        <v>543</v>
      </c>
      <c r="D78" s="16" t="s">
        <v>128</v>
      </c>
      <c r="E78" s="17" t="s">
        <v>131</v>
      </c>
      <c r="F78" s="17" t="s">
        <v>689</v>
      </c>
      <c r="G78" s="17" t="s">
        <v>689</v>
      </c>
      <c r="H78" s="19" t="str">
        <f>IF('Categorización'!$E$15="ALTA","ALTO",IF('Categorización'!$E$15="MEDIA","MEDIO","BAJO"))</f>
        <v>ALTO</v>
      </c>
      <c r="I78" s="16" t="s">
        <v>159</v>
      </c>
      <c r="J78" s="20" t="str">
        <f t="shared" si="2"/>
        <v>+ R1 + R2</v>
      </c>
      <c r="K78" s="16" t="s">
        <v>1127</v>
      </c>
      <c r="L78" s="16" t="s">
        <v>423</v>
      </c>
      <c r="M78" s="22" t="s">
        <v>161</v>
      </c>
      <c r="N78" s="16" t="s">
        <v>1128</v>
      </c>
      <c r="O78" s="16" t="s">
        <v>1129</v>
      </c>
      <c r="P78" s="16" t="s">
        <v>1130</v>
      </c>
      <c r="Q78" s="16" t="s">
        <v>160</v>
      </c>
      <c r="R78" s="24" t="s">
        <v>168</v>
      </c>
      <c r="S78" s="25">
        <v>1.0</v>
      </c>
      <c r="T78" s="16" t="s">
        <v>1131</v>
      </c>
      <c r="U78" s="16" t="s">
        <v>173</v>
      </c>
      <c r="V78" s="16" t="s">
        <v>1132</v>
      </c>
      <c r="W78" s="16" t="s">
        <v>1126</v>
      </c>
      <c r="X78" s="16"/>
    </row>
    <row r="79" ht="150.0" customHeight="1">
      <c r="A79" s="5" t="s">
        <v>883</v>
      </c>
      <c r="B79" s="9" t="s">
        <v>624</v>
      </c>
      <c r="C79" s="5" t="s">
        <v>625</v>
      </c>
      <c r="D79" s="5" t="s">
        <v>128</v>
      </c>
      <c r="E79" s="26" t="s">
        <v>131</v>
      </c>
      <c r="F79" s="26" t="s">
        <v>131</v>
      </c>
      <c r="G79" s="26" t="s">
        <v>689</v>
      </c>
      <c r="H79" s="29" t="str">
        <f>IF('Categorización'!$E$15="ALTA","ALTO",IF('Categorización'!$E$15="MEDIA","MEDIO","BAJO"))</f>
        <v>ALTO</v>
      </c>
      <c r="I79" s="5" t="s">
        <v>159</v>
      </c>
      <c r="J79" s="21" t="str">
        <f t="shared" si="2"/>
        <v>+ R1 + R2</v>
      </c>
      <c r="K79" s="5" t="s">
        <v>1133</v>
      </c>
      <c r="L79" s="5" t="s">
        <v>423</v>
      </c>
      <c r="M79" s="31" t="s">
        <v>161</v>
      </c>
      <c r="N79" s="5" t="s">
        <v>1134</v>
      </c>
      <c r="O79" s="5" t="s">
        <v>1135</v>
      </c>
      <c r="P79" s="5" t="s">
        <v>1136</v>
      </c>
      <c r="Q79" s="5" t="s">
        <v>160</v>
      </c>
      <c r="R79" s="32" t="s">
        <v>168</v>
      </c>
      <c r="S79" s="33">
        <v>1.0</v>
      </c>
      <c r="T79" s="5" t="s">
        <v>1137</v>
      </c>
      <c r="U79" s="5" t="s">
        <v>351</v>
      </c>
      <c r="V79" s="5" t="s">
        <v>1138</v>
      </c>
      <c r="W79" s="5" t="s">
        <v>895</v>
      </c>
      <c r="X79" s="5"/>
    </row>
    <row r="80" ht="150.0" customHeight="1">
      <c r="A80" s="5" t="s">
        <v>340</v>
      </c>
      <c r="B80" s="9" t="s">
        <v>403</v>
      </c>
      <c r="C80" s="5" t="s">
        <v>405</v>
      </c>
      <c r="D80" s="5" t="s">
        <v>128</v>
      </c>
      <c r="E80" s="26" t="s">
        <v>131</v>
      </c>
      <c r="F80" s="26" t="s">
        <v>275</v>
      </c>
      <c r="G80" s="26" t="s">
        <v>574</v>
      </c>
      <c r="H80" s="29" t="str">
        <f>IF('Categorización'!$E$15="ALTA","ALTO",IF('Categorización'!$E$15="MEDIA","MEDIO","BAJO"))</f>
        <v>ALTO</v>
      </c>
      <c r="I80" s="5" t="s">
        <v>159</v>
      </c>
      <c r="J80" s="21" t="str">
        <f t="shared" si="2"/>
        <v>+ R1 + R2 + R3</v>
      </c>
      <c r="K80" s="5" t="s">
        <v>1139</v>
      </c>
      <c r="L80" s="5" t="s">
        <v>411</v>
      </c>
      <c r="M80" s="31" t="s">
        <v>161</v>
      </c>
      <c r="N80" s="5" t="s">
        <v>1140</v>
      </c>
      <c r="O80" s="5" t="s">
        <v>1141</v>
      </c>
      <c r="P80" s="5" t="s">
        <v>1142</v>
      </c>
      <c r="Q80" s="5" t="s">
        <v>160</v>
      </c>
      <c r="R80" s="32" t="s">
        <v>168</v>
      </c>
      <c r="S80" s="33">
        <v>1.0</v>
      </c>
      <c r="T80" s="5" t="s">
        <v>1143</v>
      </c>
      <c r="U80" s="5" t="s">
        <v>351</v>
      </c>
      <c r="V80" s="5" t="s">
        <v>1144</v>
      </c>
      <c r="W80" s="5" t="s">
        <v>353</v>
      </c>
      <c r="X80" s="5"/>
    </row>
    <row r="81" ht="15.75" customHeight="1">
      <c r="A81" s="11" t="s">
        <v>340</v>
      </c>
      <c r="B81" s="14" t="s">
        <v>454</v>
      </c>
      <c r="C81" s="16" t="s">
        <v>455</v>
      </c>
      <c r="D81" s="16" t="s">
        <v>128</v>
      </c>
      <c r="E81" s="17" t="s">
        <v>131</v>
      </c>
      <c r="F81" s="17" t="s">
        <v>689</v>
      </c>
      <c r="G81" s="17" t="s">
        <v>574</v>
      </c>
      <c r="H81" s="19" t="str">
        <f>IF('Categorización'!$E$15="ALTA","ALTO",IF('Categorización'!$E$15="MEDIA","MEDIO","BAJO"))</f>
        <v>ALTO</v>
      </c>
      <c r="I81" s="16" t="s">
        <v>159</v>
      </c>
      <c r="J81" s="20" t="str">
        <f t="shared" si="2"/>
        <v>+ R1 + R2 + R3</v>
      </c>
      <c r="K81" s="16" t="s">
        <v>1145</v>
      </c>
      <c r="L81" s="16" t="s">
        <v>411</v>
      </c>
      <c r="M81" s="22" t="s">
        <v>161</v>
      </c>
      <c r="N81" s="16" t="s">
        <v>1146</v>
      </c>
      <c r="O81" s="16" t="s">
        <v>1147</v>
      </c>
      <c r="P81" s="16" t="s">
        <v>1148</v>
      </c>
      <c r="Q81" s="16" t="s">
        <v>160</v>
      </c>
      <c r="R81" s="24" t="s">
        <v>168</v>
      </c>
      <c r="S81" s="25">
        <v>1.0</v>
      </c>
      <c r="T81" s="16" t="s">
        <v>1149</v>
      </c>
      <c r="U81" s="16" t="s">
        <v>379</v>
      </c>
      <c r="V81" s="16" t="s">
        <v>1150</v>
      </c>
      <c r="W81" s="16" t="s">
        <v>353</v>
      </c>
      <c r="X81" s="16"/>
    </row>
    <row r="82" ht="150.0" customHeight="1">
      <c r="A82" s="5" t="s">
        <v>677</v>
      </c>
      <c r="B82" s="9" t="s">
        <v>645</v>
      </c>
      <c r="C82" s="5" t="s">
        <v>647</v>
      </c>
      <c r="D82" s="5" t="s">
        <v>80</v>
      </c>
      <c r="E82" s="26" t="s">
        <v>131</v>
      </c>
      <c r="F82" s="26" t="s">
        <v>275</v>
      </c>
      <c r="G82" s="26" t="s">
        <v>574</v>
      </c>
      <c r="H82" s="29" t="str">
        <f>IF(OR('Categorización'!G$14="ALTO"),"ALTO",IF(OR('Categorización'!G$14="MEDIO"),"MEDIO","BAJO"))</f>
        <v>ALTO</v>
      </c>
      <c r="I82" s="5" t="s">
        <v>900</v>
      </c>
      <c r="J82" s="21" t="str">
        <f t="shared" si="2"/>
        <v>+ R1 + R2 + R3</v>
      </c>
      <c r="K82" s="5" t="s">
        <v>1151</v>
      </c>
      <c r="L82" s="5" t="s">
        <v>411</v>
      </c>
      <c r="M82" s="31" t="s">
        <v>161</v>
      </c>
      <c r="N82" s="5" t="s">
        <v>1152</v>
      </c>
      <c r="O82" s="5" t="s">
        <v>1153</v>
      </c>
      <c r="P82" s="5" t="s">
        <v>1154</v>
      </c>
      <c r="Q82" s="5" t="s">
        <v>160</v>
      </c>
      <c r="R82" s="32" t="s">
        <v>168</v>
      </c>
      <c r="S82" s="33">
        <v>1.0</v>
      </c>
      <c r="T82" s="5" t="s">
        <v>1155</v>
      </c>
      <c r="U82" s="5" t="s">
        <v>351</v>
      </c>
      <c r="V82" s="5" t="s">
        <v>1156</v>
      </c>
      <c r="W82" s="5" t="s">
        <v>701</v>
      </c>
      <c r="X82" s="5"/>
    </row>
    <row r="83" ht="150.0" customHeight="1">
      <c r="A83" s="5" t="s">
        <v>208</v>
      </c>
      <c r="B83" s="9" t="s">
        <v>272</v>
      </c>
      <c r="C83" s="5" t="s">
        <v>274</v>
      </c>
      <c r="D83" s="5" t="s">
        <v>128</v>
      </c>
      <c r="E83" s="26" t="s">
        <v>131</v>
      </c>
      <c r="F83" s="26" t="s">
        <v>275</v>
      </c>
      <c r="G83" s="26" t="s">
        <v>574</v>
      </c>
      <c r="H83" s="29" t="str">
        <f>IF('Categorización'!$E$15="ALTA","ALTO",IF('Categorización'!$E$15="MEDIA","MEDIO","BAJO"))</f>
        <v>ALTO</v>
      </c>
      <c r="I83" s="5" t="s">
        <v>159</v>
      </c>
      <c r="J83" s="21" t="str">
        <f t="shared" si="2"/>
        <v>+ R1 + R2 + R3</v>
      </c>
      <c r="K83" s="5" t="s">
        <v>1157</v>
      </c>
      <c r="L83" s="5" t="s">
        <v>283</v>
      </c>
      <c r="M83" s="31" t="s">
        <v>161</v>
      </c>
      <c r="N83" s="5" t="s">
        <v>1158</v>
      </c>
      <c r="O83" s="5" t="s">
        <v>1159</v>
      </c>
      <c r="P83" s="5" t="s">
        <v>1160</v>
      </c>
      <c r="Q83" s="5" t="s">
        <v>160</v>
      </c>
      <c r="R83" s="32" t="s">
        <v>168</v>
      </c>
      <c r="S83" s="33">
        <v>1.0</v>
      </c>
      <c r="T83" s="5" t="s">
        <v>1161</v>
      </c>
      <c r="U83" s="5" t="s">
        <v>187</v>
      </c>
      <c r="V83" s="5" t="s">
        <v>1162</v>
      </c>
      <c r="W83" s="5" t="s">
        <v>254</v>
      </c>
      <c r="X83" s="5"/>
    </row>
    <row r="84" ht="150.0" customHeight="1">
      <c r="A84" s="5" t="s">
        <v>340</v>
      </c>
      <c r="B84" s="9" t="s">
        <v>435</v>
      </c>
      <c r="C84" s="5" t="s">
        <v>437</v>
      </c>
      <c r="D84" s="5" t="s">
        <v>128</v>
      </c>
      <c r="E84" s="26" t="s">
        <v>131</v>
      </c>
      <c r="F84" s="26" t="s">
        <v>689</v>
      </c>
      <c r="G84" s="26" t="s">
        <v>707</v>
      </c>
      <c r="H84" s="29" t="str">
        <f>IF('Categorización'!$E$15="ALTA","ALTO",IF('Categorización'!$E$15="MEDIA","MEDIO","BAJO"))</f>
        <v>ALTO</v>
      </c>
      <c r="I84" s="5" t="s">
        <v>159</v>
      </c>
      <c r="J84" s="21" t="str">
        <f t="shared" si="2"/>
        <v>+ R1 + R2 + R3 + R4</v>
      </c>
      <c r="K84" s="5" t="s">
        <v>1163</v>
      </c>
      <c r="L84" s="5" t="s">
        <v>440</v>
      </c>
      <c r="M84" s="31" t="s">
        <v>161</v>
      </c>
      <c r="N84" s="5" t="s">
        <v>1164</v>
      </c>
      <c r="O84" s="5" t="s">
        <v>1165</v>
      </c>
      <c r="P84" s="5" t="s">
        <v>1166</v>
      </c>
      <c r="Q84" s="5" t="s">
        <v>160</v>
      </c>
      <c r="R84" s="32" t="s">
        <v>168</v>
      </c>
      <c r="S84" s="33">
        <v>1.0</v>
      </c>
      <c r="T84" s="5" t="s">
        <v>1167</v>
      </c>
      <c r="U84" s="5" t="s">
        <v>379</v>
      </c>
      <c r="V84" s="5" t="s">
        <v>1168</v>
      </c>
      <c r="W84" s="5" t="s">
        <v>353</v>
      </c>
      <c r="X84" s="5"/>
    </row>
    <row r="85" ht="150.0" customHeight="1">
      <c r="A85" s="5" t="s">
        <v>1044</v>
      </c>
      <c r="B85" s="9" t="s">
        <v>732</v>
      </c>
      <c r="C85" s="5" t="s">
        <v>733</v>
      </c>
      <c r="D85" s="5" t="s">
        <v>128</v>
      </c>
      <c r="E85" s="35" t="s">
        <v>264</v>
      </c>
      <c r="F85" s="26" t="s">
        <v>707</v>
      </c>
      <c r="G85" s="26" t="s">
        <v>707</v>
      </c>
      <c r="H85" s="29" t="str">
        <f>IF('Categorización'!$E$15="ALTA","ALTO",IF('Categorización'!$E$15="MEDIA","MEDIO","BAJO"))</f>
        <v>ALTO</v>
      </c>
      <c r="I85" s="5" t="s">
        <v>159</v>
      </c>
      <c r="J85" s="21" t="str">
        <f t="shared" si="2"/>
        <v>+ R1 + R2 + R3 + R4</v>
      </c>
      <c r="K85" s="5" t="s">
        <v>1169</v>
      </c>
      <c r="L85" s="5" t="s">
        <v>737</v>
      </c>
      <c r="M85" s="31" t="s">
        <v>161</v>
      </c>
      <c r="N85" s="5" t="s">
        <v>1170</v>
      </c>
      <c r="O85" s="5" t="s">
        <v>1171</v>
      </c>
      <c r="P85" s="5" t="s">
        <v>1172</v>
      </c>
      <c r="Q85" s="5" t="s">
        <v>160</v>
      </c>
      <c r="R85" s="36" t="s">
        <v>1173</v>
      </c>
      <c r="S85" s="33">
        <v>0.85</v>
      </c>
      <c r="T85" s="5" t="s">
        <v>1174</v>
      </c>
      <c r="U85" s="5" t="s">
        <v>1083</v>
      </c>
      <c r="V85" s="5" t="s">
        <v>1175</v>
      </c>
      <c r="W85" s="5" t="s">
        <v>1085</v>
      </c>
      <c r="X85" s="5"/>
    </row>
    <row r="86" ht="150.0" customHeight="1">
      <c r="A86" s="5" t="s">
        <v>208</v>
      </c>
      <c r="B86" s="9" t="s">
        <v>219</v>
      </c>
      <c r="C86" s="5" t="s">
        <v>222</v>
      </c>
      <c r="D86" s="5" t="s">
        <v>128</v>
      </c>
      <c r="E86" s="26" t="s">
        <v>131</v>
      </c>
      <c r="F86" s="26" t="s">
        <v>275</v>
      </c>
      <c r="G86" s="26" t="s">
        <v>567</v>
      </c>
      <c r="H86" s="29" t="str">
        <f>IF('Categorización'!$E$15="ALTA","ALTO",IF('Categorización'!$E$15="MEDIA","MEDIO","BAJO"))</f>
        <v>ALTO</v>
      </c>
      <c r="I86" s="5" t="s">
        <v>159</v>
      </c>
      <c r="J86" s="21" t="str">
        <f t="shared" si="2"/>
        <v>+ R2</v>
      </c>
      <c r="K86" s="5" t="s">
        <v>1176</v>
      </c>
      <c r="L86" s="5" t="s">
        <v>233</v>
      </c>
      <c r="M86" s="31" t="s">
        <v>161</v>
      </c>
      <c r="N86" s="5" t="s">
        <v>1177</v>
      </c>
      <c r="O86" s="5" t="s">
        <v>1178</v>
      </c>
      <c r="P86" s="5" t="s">
        <v>1179</v>
      </c>
      <c r="Q86" s="5" t="s">
        <v>160</v>
      </c>
      <c r="R86" s="32" t="s">
        <v>168</v>
      </c>
      <c r="S86" s="33">
        <v>1.0</v>
      </c>
      <c r="T86" s="5" t="s">
        <v>1180</v>
      </c>
      <c r="U86" s="5" t="s">
        <v>173</v>
      </c>
      <c r="V86" s="5" t="s">
        <v>1181</v>
      </c>
      <c r="W86" s="5" t="s">
        <v>254</v>
      </c>
      <c r="X86" s="5"/>
    </row>
    <row r="87" ht="150.0" customHeight="1">
      <c r="A87" s="5" t="s">
        <v>779</v>
      </c>
      <c r="B87" s="9" t="s">
        <v>802</v>
      </c>
      <c r="C87" s="5" t="s">
        <v>803</v>
      </c>
      <c r="D87" s="5" t="s">
        <v>128</v>
      </c>
      <c r="E87" s="26" t="s">
        <v>927</v>
      </c>
      <c r="F87" s="26" t="s">
        <v>927</v>
      </c>
      <c r="G87" s="26" t="s">
        <v>928</v>
      </c>
      <c r="H87" s="29" t="str">
        <f>IF('Categorización'!$E$15="ALTA","ALTO",IF('Categorización'!$E$15="MEDIA","MEDIO","BAJO"))</f>
        <v>ALTO</v>
      </c>
      <c r="I87" s="5" t="s">
        <v>159</v>
      </c>
      <c r="J87" s="21" t="str">
        <f t="shared" si="2"/>
        <v>+ R2 + R3</v>
      </c>
      <c r="K87" s="5" t="s">
        <v>1182</v>
      </c>
      <c r="L87" s="5" t="s">
        <v>808</v>
      </c>
      <c r="M87" s="31" t="s">
        <v>161</v>
      </c>
      <c r="N87" s="5" t="s">
        <v>1183</v>
      </c>
      <c r="O87" s="5" t="s">
        <v>1184</v>
      </c>
      <c r="P87" s="5" t="s">
        <v>1185</v>
      </c>
      <c r="Q87" s="5" t="s">
        <v>160</v>
      </c>
      <c r="R87" s="32" t="s">
        <v>168</v>
      </c>
      <c r="S87" s="33">
        <v>1.0</v>
      </c>
      <c r="T87" s="5" t="s">
        <v>1186</v>
      </c>
      <c r="U87" s="5" t="s">
        <v>1083</v>
      </c>
      <c r="V87" s="5" t="s">
        <v>1187</v>
      </c>
      <c r="W87" s="5" t="s">
        <v>800</v>
      </c>
      <c r="X87" s="5"/>
    </row>
    <row r="88" ht="72.75" customHeight="1">
      <c r="A88" s="11" t="s">
        <v>677</v>
      </c>
      <c r="B88" s="14" t="s">
        <v>665</v>
      </c>
      <c r="C88" s="16" t="s">
        <v>667</v>
      </c>
      <c r="D88" s="16" t="s">
        <v>868</v>
      </c>
      <c r="E88" s="17" t="s">
        <v>131</v>
      </c>
      <c r="F88" s="17" t="s">
        <v>689</v>
      </c>
      <c r="G88" s="17" t="s">
        <v>707</v>
      </c>
      <c r="H88" s="19" t="str">
        <f>IF(OR('Categorización'!F$14="ALTO",'Categorización'!H$14="ALTO"),"ALTO",IF(OR('Categorización'!F$14="MEDIO",'Categorización'!H$14="MEDIO"),"MEDIO","BAJO"))</f>
        <v>ALTO</v>
      </c>
      <c r="I88" s="16" t="s">
        <v>1011</v>
      </c>
      <c r="J88" s="20" t="str">
        <f t="shared" si="2"/>
        <v>+ R1 + R2 + R3 + R4</v>
      </c>
      <c r="K88" s="16" t="s">
        <v>1188</v>
      </c>
      <c r="L88" s="16" t="s">
        <v>673</v>
      </c>
      <c r="M88" s="58" t="s">
        <v>1100</v>
      </c>
      <c r="N88" s="16" t="s">
        <v>1189</v>
      </c>
      <c r="O88" s="16" t="s">
        <v>1190</v>
      </c>
      <c r="P88" s="16" t="s">
        <v>1191</v>
      </c>
      <c r="Q88" s="16" t="s">
        <v>250</v>
      </c>
      <c r="R88" s="59" t="s">
        <v>1104</v>
      </c>
      <c r="S88" s="25">
        <v>0.9</v>
      </c>
      <c r="T88" s="16" t="s">
        <v>1192</v>
      </c>
      <c r="U88" s="16" t="s">
        <v>351</v>
      </c>
      <c r="V88" s="16" t="s">
        <v>1193</v>
      </c>
      <c r="W88" s="16" t="s">
        <v>701</v>
      </c>
      <c r="X88" s="16"/>
    </row>
    <row r="89" ht="150.0" customHeight="1">
      <c r="A89" s="5" t="s">
        <v>984</v>
      </c>
      <c r="B89" s="9" t="s">
        <v>551</v>
      </c>
      <c r="C89" s="5" t="s">
        <v>552</v>
      </c>
      <c r="D89" s="5" t="s">
        <v>128</v>
      </c>
      <c r="E89" s="26" t="s">
        <v>131</v>
      </c>
      <c r="F89" s="26" t="s">
        <v>689</v>
      </c>
      <c r="G89" s="26" t="s">
        <v>812</v>
      </c>
      <c r="H89" s="29" t="str">
        <f>IF('Categorización'!$E$15="ALTA","ALTO",IF('Categorización'!$E$15="MEDIA","MEDIO","BAJO"))</f>
        <v>ALTO</v>
      </c>
      <c r="I89" s="5" t="s">
        <v>159</v>
      </c>
      <c r="J89" s="21" t="str">
        <f t="shared" si="2"/>
        <v>+ R1 + R2 + R3 + R4 + R5 + R6</v>
      </c>
      <c r="K89" s="5" t="s">
        <v>1194</v>
      </c>
      <c r="L89" s="5" t="s">
        <v>560</v>
      </c>
      <c r="M89" s="31" t="s">
        <v>161</v>
      </c>
      <c r="N89" s="5" t="s">
        <v>1195</v>
      </c>
      <c r="O89" s="5" t="s">
        <v>1196</v>
      </c>
      <c r="P89" s="5" t="s">
        <v>1197</v>
      </c>
      <c r="Q89" s="5" t="s">
        <v>160</v>
      </c>
      <c r="R89" s="36" t="s">
        <v>1173</v>
      </c>
      <c r="S89" s="33">
        <v>0.8</v>
      </c>
      <c r="T89" s="5" t="s">
        <v>1198</v>
      </c>
      <c r="U89" s="5" t="s">
        <v>379</v>
      </c>
      <c r="V89" s="5" t="s">
        <v>1199</v>
      </c>
      <c r="W89" s="5" t="s">
        <v>1126</v>
      </c>
      <c r="X89" s="5"/>
    </row>
    <row r="90" ht="150.0" customHeight="1">
      <c r="A90" s="5" t="s">
        <v>106</v>
      </c>
      <c r="B90" s="9" t="s">
        <v>525</v>
      </c>
      <c r="C90" s="5" t="s">
        <v>527</v>
      </c>
      <c r="D90" s="5" t="s">
        <v>128</v>
      </c>
      <c r="E90" s="26" t="s">
        <v>131</v>
      </c>
      <c r="F90" s="26" t="s">
        <v>131</v>
      </c>
      <c r="G90" s="26" t="s">
        <v>131</v>
      </c>
      <c r="H90" s="29" t="str">
        <f>IF('Categorización'!$E$15="ALTA","ALTO",IF('Categorización'!$E$15="MEDIA","MEDIO","BAJO"))</f>
        <v>ALTO</v>
      </c>
      <c r="I90" s="5" t="s">
        <v>159</v>
      </c>
      <c r="J90" s="21" t="str">
        <f t="shared" si="2"/>
        <v>aplica</v>
      </c>
      <c r="K90" s="5" t="s">
        <v>160</v>
      </c>
      <c r="L90" s="5" t="s">
        <v>1200</v>
      </c>
      <c r="M90" s="31" t="s">
        <v>161</v>
      </c>
      <c r="N90" s="5" t="s">
        <v>1201</v>
      </c>
      <c r="O90" s="5" t="s">
        <v>1202</v>
      </c>
      <c r="P90" s="5" t="s">
        <v>1203</v>
      </c>
      <c r="Q90" s="5" t="s">
        <v>160</v>
      </c>
      <c r="R90" s="32" t="s">
        <v>168</v>
      </c>
      <c r="S90" s="33">
        <v>1.0</v>
      </c>
      <c r="T90" s="5" t="s">
        <v>1204</v>
      </c>
      <c r="U90" s="5" t="s">
        <v>173</v>
      </c>
      <c r="V90" s="5" t="s">
        <v>1205</v>
      </c>
      <c r="W90" s="5" t="s">
        <v>175</v>
      </c>
      <c r="X90" s="5"/>
    </row>
    <row r="91" ht="150.0" customHeight="1">
      <c r="A91" s="5" t="s">
        <v>208</v>
      </c>
      <c r="B91" s="9" t="s">
        <v>593</v>
      </c>
      <c r="C91" s="5" t="s">
        <v>594</v>
      </c>
      <c r="D91" s="5" t="s">
        <v>128</v>
      </c>
      <c r="E91" s="35" t="s">
        <v>264</v>
      </c>
      <c r="F91" s="26" t="s">
        <v>131</v>
      </c>
      <c r="G91" s="26" t="s">
        <v>131</v>
      </c>
      <c r="H91" s="29" t="str">
        <f>IF('Categorización'!$E$15="ALTA","ALTO",IF('Categorización'!$E$15="MEDIA","MEDIO","BAJO"))</f>
        <v>ALTO</v>
      </c>
      <c r="I91" s="5" t="s">
        <v>159</v>
      </c>
      <c r="J91" s="21" t="str">
        <f t="shared" si="2"/>
        <v>aplica</v>
      </c>
      <c r="K91" s="5" t="s">
        <v>160</v>
      </c>
      <c r="L91" s="5" t="s">
        <v>1206</v>
      </c>
      <c r="M91" s="57" t="s">
        <v>1100</v>
      </c>
      <c r="N91" s="5" t="s">
        <v>481</v>
      </c>
      <c r="O91" s="5" t="s">
        <v>1207</v>
      </c>
      <c r="P91" s="5" t="s">
        <v>1208</v>
      </c>
      <c r="Q91" s="5" t="s">
        <v>217</v>
      </c>
      <c r="R91" s="36" t="s">
        <v>1104</v>
      </c>
      <c r="S91" s="33">
        <v>0.85</v>
      </c>
      <c r="T91" s="5" t="s">
        <v>1209</v>
      </c>
      <c r="U91" s="5" t="s">
        <v>173</v>
      </c>
      <c r="V91" s="5" t="s">
        <v>1210</v>
      </c>
      <c r="W91" s="5" t="s">
        <v>254</v>
      </c>
      <c r="X91" s="5"/>
    </row>
    <row r="92" ht="150.0" customHeight="1">
      <c r="A92" s="5" t="s">
        <v>470</v>
      </c>
      <c r="B92" s="9" t="s">
        <v>838</v>
      </c>
      <c r="C92" s="5" t="s">
        <v>839</v>
      </c>
      <c r="D92" s="5" t="s">
        <v>77</v>
      </c>
      <c r="E92" s="35" t="s">
        <v>264</v>
      </c>
      <c r="F92" s="26" t="s">
        <v>131</v>
      </c>
      <c r="G92" s="26" t="s">
        <v>131</v>
      </c>
      <c r="H92" s="29" t="str">
        <f>IF(OR('Categorización'!E$14="ALTO"),"ALTO",IF(OR('Categorización'!E$14="MEDIO"),"MEDIO","BAJO"))</f>
        <v>ALTO</v>
      </c>
      <c r="I92" s="5" t="s">
        <v>425</v>
      </c>
      <c r="J92" s="21" t="str">
        <f t="shared" si="2"/>
        <v>aplica</v>
      </c>
      <c r="K92" s="5" t="s">
        <v>160</v>
      </c>
      <c r="L92" s="5" t="s">
        <v>1211</v>
      </c>
      <c r="M92" s="57" t="s">
        <v>1100</v>
      </c>
      <c r="N92" s="5" t="s">
        <v>461</v>
      </c>
      <c r="O92" s="5" t="s">
        <v>1212</v>
      </c>
      <c r="P92" s="5" t="s">
        <v>1213</v>
      </c>
      <c r="Q92" s="5" t="s">
        <v>234</v>
      </c>
      <c r="R92" s="36" t="s">
        <v>1104</v>
      </c>
      <c r="S92" s="33">
        <v>0.9</v>
      </c>
      <c r="T92" s="5" t="s">
        <v>1214</v>
      </c>
      <c r="U92" s="5" t="s">
        <v>487</v>
      </c>
      <c r="V92" s="5" t="s">
        <v>563</v>
      </c>
      <c r="W92" s="5" t="s">
        <v>489</v>
      </c>
      <c r="X92" s="5"/>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X$92">
    <sortState ref="A1:X92">
      <sortCondition ref="L1:L92"/>
    </sortState>
  </autoFilter>
  <mergeCells count="18">
    <mergeCell ref="A64:X64"/>
    <mergeCell ref="A63:X63"/>
    <mergeCell ref="A66:X66"/>
    <mergeCell ref="A58:X58"/>
    <mergeCell ref="A65:X65"/>
    <mergeCell ref="A59:X59"/>
    <mergeCell ref="A61:X61"/>
    <mergeCell ref="A62:X62"/>
    <mergeCell ref="A60:X60"/>
    <mergeCell ref="A51:X51"/>
    <mergeCell ref="A50:X50"/>
    <mergeCell ref="A56:X56"/>
    <mergeCell ref="A57:X57"/>
    <mergeCell ref="A53:X53"/>
    <mergeCell ref="A55:X55"/>
    <mergeCell ref="A49:X49"/>
    <mergeCell ref="A52:X52"/>
    <mergeCell ref="A54:X54"/>
  </mergeCells>
  <dataValidations>
    <dataValidation type="list" allowBlank="1" sqref="M2:M48 M67:M92">
      <formula1>"SÍ,NO,SÍ (compensada)"</formula1>
    </dataValidation>
    <dataValidation type="list" allowBlank="1" sqref="R2:R48 R67:R92">
      <formula1>"Implantada,Parcial,Parcial (compensada),Planificada,No implantada,No aplica"</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2.0"/>
    <col customWidth="1" min="2" max="2" width="30.0"/>
    <col customWidth="1" min="3" max="3" width="9.0"/>
    <col customWidth="1" min="4" max="4" width="30.0"/>
    <col customWidth="1" min="5" max="5" width="16.0"/>
    <col customWidth="1" min="6" max="6" width="14.0"/>
    <col customWidth="1" min="7" max="7" width="18.0"/>
    <col customWidth="1" min="8" max="8" width="90.0"/>
    <col customWidth="1" min="9" max="9" width="60.0"/>
  </cols>
  <sheetData>
    <row r="1" ht="31.5" customHeight="1">
      <c r="A1" s="2" t="s">
        <v>193</v>
      </c>
      <c r="B1" s="2" t="s">
        <v>197</v>
      </c>
      <c r="C1" s="2" t="s">
        <v>199</v>
      </c>
      <c r="D1" s="2" t="s">
        <v>204</v>
      </c>
      <c r="E1" s="2" t="s">
        <v>206</v>
      </c>
      <c r="F1" s="2" t="s">
        <v>46</v>
      </c>
      <c r="G1" s="2" t="s">
        <v>211</v>
      </c>
      <c r="H1" s="2" t="s">
        <v>215</v>
      </c>
      <c r="I1" s="2" t="s">
        <v>216</v>
      </c>
    </row>
    <row r="2" ht="69.75" customHeight="1">
      <c r="A2" s="5" t="s">
        <v>219</v>
      </c>
      <c r="B2" s="5" t="s">
        <v>222</v>
      </c>
      <c r="C2" s="5" t="s">
        <v>223</v>
      </c>
      <c r="D2" s="5" t="s">
        <v>225</v>
      </c>
      <c r="E2" s="5" t="s">
        <v>116</v>
      </c>
      <c r="F2" s="5" t="s">
        <v>116</v>
      </c>
      <c r="G2" s="32" t="s">
        <v>227</v>
      </c>
      <c r="H2" s="5" t="s">
        <v>231</v>
      </c>
      <c r="I2" s="5" t="s">
        <v>233</v>
      </c>
    </row>
    <row r="3" ht="69.75" customHeight="1">
      <c r="A3" s="5" t="s">
        <v>219</v>
      </c>
      <c r="B3" s="5" t="s">
        <v>222</v>
      </c>
      <c r="C3" s="5" t="s">
        <v>238</v>
      </c>
      <c r="D3" s="5" t="s">
        <v>240</v>
      </c>
      <c r="E3" s="5" t="s">
        <v>125</v>
      </c>
      <c r="F3" s="5" t="s">
        <v>116</v>
      </c>
      <c r="G3" s="34" t="s">
        <v>247</v>
      </c>
      <c r="H3" s="5" t="s">
        <v>267</v>
      </c>
      <c r="I3" s="5" t="s">
        <v>160</v>
      </c>
    </row>
    <row r="4" ht="69.75" customHeight="1">
      <c r="A4" s="5" t="s">
        <v>272</v>
      </c>
      <c r="B4" s="5" t="s">
        <v>274</v>
      </c>
      <c r="C4" s="5" t="s">
        <v>238</v>
      </c>
      <c r="D4" s="5" t="s">
        <v>280</v>
      </c>
      <c r="E4" s="5" t="s">
        <v>281</v>
      </c>
      <c r="F4" s="5" t="s">
        <v>116</v>
      </c>
      <c r="G4" s="32" t="s">
        <v>227</v>
      </c>
      <c r="H4" s="5" t="s">
        <v>282</v>
      </c>
      <c r="I4" s="5" t="s">
        <v>283</v>
      </c>
    </row>
    <row r="5" ht="69.75" customHeight="1">
      <c r="A5" s="5" t="s">
        <v>272</v>
      </c>
      <c r="B5" s="5" t="s">
        <v>274</v>
      </c>
      <c r="C5" s="5" t="s">
        <v>223</v>
      </c>
      <c r="D5" s="5" t="s">
        <v>284</v>
      </c>
      <c r="E5" s="5" t="s">
        <v>116</v>
      </c>
      <c r="F5" s="5" t="s">
        <v>116</v>
      </c>
      <c r="G5" s="32" t="s">
        <v>227</v>
      </c>
      <c r="H5" s="5" t="s">
        <v>285</v>
      </c>
      <c r="I5" s="5" t="s">
        <v>283</v>
      </c>
    </row>
    <row r="6" ht="69.75" customHeight="1">
      <c r="A6" s="5" t="s">
        <v>272</v>
      </c>
      <c r="B6" s="5" t="s">
        <v>274</v>
      </c>
      <c r="C6" s="5" t="s">
        <v>286</v>
      </c>
      <c r="D6" s="5" t="s">
        <v>287</v>
      </c>
      <c r="E6" s="5" t="s">
        <v>116</v>
      </c>
      <c r="F6" s="5" t="s">
        <v>116</v>
      </c>
      <c r="G6" s="32" t="s">
        <v>227</v>
      </c>
      <c r="H6" s="5" t="s">
        <v>288</v>
      </c>
      <c r="I6" s="5" t="s">
        <v>283</v>
      </c>
    </row>
    <row r="7" ht="69.75" customHeight="1">
      <c r="A7" s="5" t="s">
        <v>289</v>
      </c>
      <c r="B7" s="5" t="s">
        <v>290</v>
      </c>
      <c r="C7" s="5" t="s">
        <v>238</v>
      </c>
      <c r="D7" s="5" t="s">
        <v>291</v>
      </c>
      <c r="E7" s="5" t="s">
        <v>281</v>
      </c>
      <c r="F7" s="5" t="s">
        <v>116</v>
      </c>
      <c r="G7" s="32" t="s">
        <v>227</v>
      </c>
      <c r="H7" s="5" t="s">
        <v>292</v>
      </c>
      <c r="I7" s="5" t="s">
        <v>293</v>
      </c>
    </row>
    <row r="8" ht="69.75" customHeight="1">
      <c r="A8" s="5" t="s">
        <v>294</v>
      </c>
      <c r="B8" s="5" t="s">
        <v>295</v>
      </c>
      <c r="C8" s="5" t="s">
        <v>238</v>
      </c>
      <c r="D8" s="5" t="s">
        <v>296</v>
      </c>
      <c r="E8" s="5" t="s">
        <v>281</v>
      </c>
      <c r="F8" s="5" t="s">
        <v>116</v>
      </c>
      <c r="G8" s="32" t="s">
        <v>227</v>
      </c>
      <c r="H8" s="5" t="s">
        <v>298</v>
      </c>
      <c r="I8" s="5" t="s">
        <v>299</v>
      </c>
    </row>
    <row r="9" ht="69.75" customHeight="1">
      <c r="A9" s="5" t="s">
        <v>300</v>
      </c>
      <c r="B9" s="5" t="s">
        <v>302</v>
      </c>
      <c r="C9" s="5" t="s">
        <v>238</v>
      </c>
      <c r="D9" s="5" t="s">
        <v>303</v>
      </c>
      <c r="E9" s="5" t="s">
        <v>116</v>
      </c>
      <c r="F9" s="5" t="s">
        <v>116</v>
      </c>
      <c r="G9" s="32" t="s">
        <v>227</v>
      </c>
      <c r="H9" s="5" t="s">
        <v>305</v>
      </c>
      <c r="I9" s="5" t="s">
        <v>306</v>
      </c>
    </row>
    <row r="10" ht="69.75" customHeight="1">
      <c r="A10" s="5" t="s">
        <v>258</v>
      </c>
      <c r="B10" s="5" t="s">
        <v>260</v>
      </c>
      <c r="C10" s="5" t="s">
        <v>238</v>
      </c>
      <c r="D10" s="5" t="s">
        <v>309</v>
      </c>
      <c r="E10" s="5" t="s">
        <v>116</v>
      </c>
      <c r="F10" s="5" t="s">
        <v>116</v>
      </c>
      <c r="G10" s="32" t="s">
        <v>227</v>
      </c>
      <c r="H10" s="5" t="s">
        <v>311</v>
      </c>
      <c r="I10" s="5"/>
    </row>
    <row r="11" ht="69.75" customHeight="1">
      <c r="A11" s="5" t="s">
        <v>313</v>
      </c>
      <c r="B11" s="5" t="s">
        <v>315</v>
      </c>
      <c r="C11" s="5" t="s">
        <v>223</v>
      </c>
      <c r="D11" s="5" t="s">
        <v>316</v>
      </c>
      <c r="E11" s="5" t="s">
        <v>317</v>
      </c>
      <c r="F11" s="5" t="s">
        <v>116</v>
      </c>
      <c r="G11" s="36" t="s">
        <v>320</v>
      </c>
      <c r="H11" s="5" t="s">
        <v>321</v>
      </c>
      <c r="I11" s="5" t="s">
        <v>322</v>
      </c>
    </row>
    <row r="12" ht="69.75" customHeight="1">
      <c r="A12" s="5" t="s">
        <v>313</v>
      </c>
      <c r="B12" s="5" t="s">
        <v>315</v>
      </c>
      <c r="C12" s="5" t="s">
        <v>286</v>
      </c>
      <c r="D12" s="5" t="s">
        <v>323</v>
      </c>
      <c r="E12" s="5" t="s">
        <v>317</v>
      </c>
      <c r="F12" s="5" t="s">
        <v>116</v>
      </c>
      <c r="G12" s="36" t="s">
        <v>320</v>
      </c>
      <c r="H12" s="5" t="s">
        <v>324</v>
      </c>
      <c r="I12" s="5" t="s">
        <v>322</v>
      </c>
    </row>
    <row r="13" ht="69.75" customHeight="1">
      <c r="A13" s="5" t="s">
        <v>313</v>
      </c>
      <c r="B13" s="5" t="s">
        <v>315</v>
      </c>
      <c r="C13" s="5" t="s">
        <v>325</v>
      </c>
      <c r="D13" s="5" t="s">
        <v>326</v>
      </c>
      <c r="E13" s="5" t="s">
        <v>317</v>
      </c>
      <c r="F13" s="5" t="s">
        <v>116</v>
      </c>
      <c r="G13" s="36" t="s">
        <v>320</v>
      </c>
      <c r="H13" s="5" t="s">
        <v>327</v>
      </c>
      <c r="I13" s="5" t="s">
        <v>322</v>
      </c>
    </row>
    <row r="14" ht="69.75" customHeight="1">
      <c r="A14" s="5" t="s">
        <v>313</v>
      </c>
      <c r="B14" s="5" t="s">
        <v>315</v>
      </c>
      <c r="C14" s="5" t="s">
        <v>328</v>
      </c>
      <c r="D14" s="5" t="s">
        <v>329</v>
      </c>
      <c r="E14" s="5" t="s">
        <v>281</v>
      </c>
      <c r="F14" s="5" t="s">
        <v>116</v>
      </c>
      <c r="G14" s="32" t="s">
        <v>227</v>
      </c>
      <c r="H14" s="5" t="s">
        <v>330</v>
      </c>
      <c r="I14" s="5" t="s">
        <v>322</v>
      </c>
    </row>
    <row r="15" ht="69.75" customHeight="1">
      <c r="A15" s="5" t="s">
        <v>313</v>
      </c>
      <c r="B15" s="5" t="s">
        <v>315</v>
      </c>
      <c r="C15" s="5" t="s">
        <v>238</v>
      </c>
      <c r="D15" s="5" t="s">
        <v>331</v>
      </c>
      <c r="E15" s="5" t="s">
        <v>151</v>
      </c>
      <c r="F15" s="5" t="s">
        <v>116</v>
      </c>
      <c r="G15" s="34" t="s">
        <v>247</v>
      </c>
      <c r="H15" s="5" t="s">
        <v>335</v>
      </c>
      <c r="I15" s="5" t="s">
        <v>160</v>
      </c>
    </row>
    <row r="16" ht="69.75" customHeight="1">
      <c r="A16" s="5" t="s">
        <v>337</v>
      </c>
      <c r="B16" s="5" t="s">
        <v>339</v>
      </c>
      <c r="C16" s="5" t="s">
        <v>238</v>
      </c>
      <c r="D16" s="5" t="s">
        <v>331</v>
      </c>
      <c r="E16" s="5" t="s">
        <v>317</v>
      </c>
      <c r="F16" s="5" t="s">
        <v>116</v>
      </c>
      <c r="G16" s="36" t="s">
        <v>320</v>
      </c>
      <c r="H16" s="5" t="s">
        <v>343</v>
      </c>
      <c r="I16" s="5" t="s">
        <v>344</v>
      </c>
    </row>
    <row r="17" ht="69.75" customHeight="1">
      <c r="A17" s="5" t="s">
        <v>337</v>
      </c>
      <c r="B17" s="5" t="s">
        <v>339</v>
      </c>
      <c r="C17" s="5" t="s">
        <v>223</v>
      </c>
      <c r="D17" s="5" t="s">
        <v>345</v>
      </c>
      <c r="E17" s="5" t="s">
        <v>317</v>
      </c>
      <c r="F17" s="5" t="s">
        <v>116</v>
      </c>
      <c r="G17" s="36" t="s">
        <v>320</v>
      </c>
      <c r="H17" s="5" t="s">
        <v>346</v>
      </c>
      <c r="I17" s="5" t="s">
        <v>344</v>
      </c>
    </row>
    <row r="18" ht="69.75" customHeight="1">
      <c r="A18" s="5" t="s">
        <v>337</v>
      </c>
      <c r="B18" s="5" t="s">
        <v>339</v>
      </c>
      <c r="C18" s="5" t="s">
        <v>286</v>
      </c>
      <c r="D18" s="5" t="s">
        <v>323</v>
      </c>
      <c r="E18" s="5" t="s">
        <v>317</v>
      </c>
      <c r="F18" s="5" t="s">
        <v>116</v>
      </c>
      <c r="G18" s="36" t="s">
        <v>320</v>
      </c>
      <c r="H18" s="5" t="s">
        <v>349</v>
      </c>
      <c r="I18" s="5" t="s">
        <v>344</v>
      </c>
    </row>
    <row r="19" ht="69.75" customHeight="1">
      <c r="A19" s="5" t="s">
        <v>337</v>
      </c>
      <c r="B19" s="5" t="s">
        <v>339</v>
      </c>
      <c r="C19" s="5" t="s">
        <v>325</v>
      </c>
      <c r="D19" s="5" t="s">
        <v>326</v>
      </c>
      <c r="E19" s="5" t="s">
        <v>317</v>
      </c>
      <c r="F19" s="5" t="s">
        <v>116</v>
      </c>
      <c r="G19" s="36" t="s">
        <v>320</v>
      </c>
      <c r="H19" s="5" t="s">
        <v>356</v>
      </c>
      <c r="I19" s="5" t="s">
        <v>344</v>
      </c>
    </row>
    <row r="20" ht="69.75" customHeight="1">
      <c r="A20" s="5" t="s">
        <v>337</v>
      </c>
      <c r="B20" s="5" t="s">
        <v>339</v>
      </c>
      <c r="C20" s="5" t="s">
        <v>328</v>
      </c>
      <c r="D20" s="5" t="s">
        <v>329</v>
      </c>
      <c r="E20" s="5" t="s">
        <v>281</v>
      </c>
      <c r="F20" s="5" t="s">
        <v>116</v>
      </c>
      <c r="G20" s="32" t="s">
        <v>227</v>
      </c>
      <c r="H20" s="5" t="s">
        <v>357</v>
      </c>
      <c r="I20" s="5" t="s">
        <v>344</v>
      </c>
    </row>
    <row r="21" ht="69.75" customHeight="1">
      <c r="A21" s="5" t="s">
        <v>337</v>
      </c>
      <c r="B21" s="5" t="s">
        <v>339</v>
      </c>
      <c r="C21" s="5" t="s">
        <v>358</v>
      </c>
      <c r="D21" s="5" t="s">
        <v>359</v>
      </c>
      <c r="E21" s="5" t="s">
        <v>116</v>
      </c>
      <c r="F21" s="5" t="s">
        <v>116</v>
      </c>
      <c r="G21" s="32" t="s">
        <v>227</v>
      </c>
      <c r="H21" s="5" t="s">
        <v>387</v>
      </c>
      <c r="I21" s="5" t="s">
        <v>344</v>
      </c>
    </row>
    <row r="22" ht="69.75" customHeight="1">
      <c r="A22" s="5" t="s">
        <v>337</v>
      </c>
      <c r="B22" s="5" t="s">
        <v>339</v>
      </c>
      <c r="C22" s="5" t="s">
        <v>390</v>
      </c>
      <c r="D22" s="5" t="s">
        <v>392</v>
      </c>
      <c r="E22" s="5" t="s">
        <v>116</v>
      </c>
      <c r="F22" s="5" t="s">
        <v>116</v>
      </c>
      <c r="G22" s="32" t="s">
        <v>227</v>
      </c>
      <c r="H22" s="5" t="s">
        <v>395</v>
      </c>
      <c r="I22" s="5" t="s">
        <v>344</v>
      </c>
    </row>
    <row r="23" ht="69.75" customHeight="1">
      <c r="A23" s="5" t="s">
        <v>337</v>
      </c>
      <c r="B23" s="5" t="s">
        <v>339</v>
      </c>
      <c r="C23" s="5" t="s">
        <v>396</v>
      </c>
      <c r="D23" s="5" t="s">
        <v>397</v>
      </c>
      <c r="E23" s="5" t="s">
        <v>317</v>
      </c>
      <c r="F23" s="5" t="s">
        <v>116</v>
      </c>
      <c r="G23" s="32" t="s">
        <v>227</v>
      </c>
      <c r="H23" s="5" t="s">
        <v>398</v>
      </c>
      <c r="I23" s="5" t="s">
        <v>344</v>
      </c>
    </row>
    <row r="24" ht="69.75" customHeight="1">
      <c r="A24" s="5" t="s">
        <v>337</v>
      </c>
      <c r="B24" s="5" t="s">
        <v>339</v>
      </c>
      <c r="C24" s="5" t="s">
        <v>399</v>
      </c>
      <c r="D24" s="5" t="s">
        <v>400</v>
      </c>
      <c r="E24" s="5" t="s">
        <v>317</v>
      </c>
      <c r="F24" s="5" t="s">
        <v>116</v>
      </c>
      <c r="G24" s="32" t="s">
        <v>227</v>
      </c>
      <c r="H24" s="5" t="s">
        <v>401</v>
      </c>
      <c r="I24" s="5" t="s">
        <v>344</v>
      </c>
    </row>
    <row r="25" ht="69.75" customHeight="1">
      <c r="A25" s="5" t="s">
        <v>403</v>
      </c>
      <c r="B25" s="5" t="s">
        <v>405</v>
      </c>
      <c r="C25" s="5" t="s">
        <v>238</v>
      </c>
      <c r="D25" s="5" t="s">
        <v>407</v>
      </c>
      <c r="E25" s="5" t="s">
        <v>281</v>
      </c>
      <c r="F25" s="5" t="s">
        <v>116</v>
      </c>
      <c r="G25" s="32" t="s">
        <v>227</v>
      </c>
      <c r="H25" s="5" t="s">
        <v>410</v>
      </c>
      <c r="I25" s="5" t="s">
        <v>411</v>
      </c>
    </row>
    <row r="26" ht="69.75" customHeight="1">
      <c r="A26" s="5" t="s">
        <v>403</v>
      </c>
      <c r="B26" s="5" t="s">
        <v>405</v>
      </c>
      <c r="C26" s="5" t="s">
        <v>223</v>
      </c>
      <c r="D26" s="5" t="s">
        <v>415</v>
      </c>
      <c r="E26" s="5" t="s">
        <v>116</v>
      </c>
      <c r="F26" s="5" t="s">
        <v>116</v>
      </c>
      <c r="G26" s="32" t="s">
        <v>227</v>
      </c>
      <c r="H26" s="5" t="s">
        <v>416</v>
      </c>
      <c r="I26" s="5" t="s">
        <v>411</v>
      </c>
    </row>
    <row r="27" ht="69.75" customHeight="1">
      <c r="A27" s="5" t="s">
        <v>403</v>
      </c>
      <c r="B27" s="5" t="s">
        <v>405</v>
      </c>
      <c r="C27" s="5" t="s">
        <v>286</v>
      </c>
      <c r="D27" s="5" t="s">
        <v>417</v>
      </c>
      <c r="E27" s="5" t="s">
        <v>116</v>
      </c>
      <c r="F27" s="5" t="s">
        <v>116</v>
      </c>
      <c r="G27" s="32" t="s">
        <v>227</v>
      </c>
      <c r="H27" s="5" t="s">
        <v>418</v>
      </c>
      <c r="I27" s="5" t="s">
        <v>411</v>
      </c>
    </row>
    <row r="28" ht="69.75" customHeight="1">
      <c r="A28" s="5" t="s">
        <v>419</v>
      </c>
      <c r="B28" s="5" t="s">
        <v>420</v>
      </c>
      <c r="C28" s="5" t="s">
        <v>238</v>
      </c>
      <c r="D28" s="5" t="s">
        <v>421</v>
      </c>
      <c r="E28" s="5" t="s">
        <v>281</v>
      </c>
      <c r="F28" s="5" t="s">
        <v>116</v>
      </c>
      <c r="G28" s="32" t="s">
        <v>227</v>
      </c>
      <c r="H28" s="5" t="s">
        <v>422</v>
      </c>
      <c r="I28" s="5" t="s">
        <v>423</v>
      </c>
    </row>
    <row r="29" ht="69.75" customHeight="1">
      <c r="A29" s="5" t="s">
        <v>419</v>
      </c>
      <c r="B29" s="5" t="s">
        <v>420</v>
      </c>
      <c r="C29" s="5" t="s">
        <v>223</v>
      </c>
      <c r="D29" s="5" t="s">
        <v>424</v>
      </c>
      <c r="E29" s="5" t="s">
        <v>116</v>
      </c>
      <c r="F29" s="5" t="s">
        <v>116</v>
      </c>
      <c r="G29" s="32" t="s">
        <v>227</v>
      </c>
      <c r="H29" s="5" t="s">
        <v>426</v>
      </c>
      <c r="I29" s="5" t="s">
        <v>423</v>
      </c>
    </row>
    <row r="30" ht="69.75" customHeight="1">
      <c r="A30" s="5" t="s">
        <v>365</v>
      </c>
      <c r="B30" s="5" t="s">
        <v>366</v>
      </c>
      <c r="C30" s="5" t="s">
        <v>238</v>
      </c>
      <c r="D30" s="5" t="s">
        <v>424</v>
      </c>
      <c r="E30" s="5" t="s">
        <v>116</v>
      </c>
      <c r="F30" s="5" t="s">
        <v>116</v>
      </c>
      <c r="G30" s="32" t="s">
        <v>227</v>
      </c>
      <c r="H30" s="5" t="s">
        <v>433</v>
      </c>
      <c r="I30" s="5"/>
    </row>
    <row r="31" ht="69.75" customHeight="1">
      <c r="A31" s="5" t="s">
        <v>435</v>
      </c>
      <c r="B31" s="5" t="s">
        <v>437</v>
      </c>
      <c r="C31" s="5" t="s">
        <v>238</v>
      </c>
      <c r="D31" s="5" t="s">
        <v>438</v>
      </c>
      <c r="E31" s="5" t="s">
        <v>281</v>
      </c>
      <c r="F31" s="5" t="s">
        <v>116</v>
      </c>
      <c r="G31" s="32" t="s">
        <v>227</v>
      </c>
      <c r="H31" s="5" t="s">
        <v>439</v>
      </c>
      <c r="I31" s="5" t="s">
        <v>440</v>
      </c>
    </row>
    <row r="32" ht="69.75" customHeight="1">
      <c r="A32" s="5" t="s">
        <v>435</v>
      </c>
      <c r="B32" s="5" t="s">
        <v>437</v>
      </c>
      <c r="C32" s="5" t="s">
        <v>223</v>
      </c>
      <c r="D32" s="5" t="s">
        <v>441</v>
      </c>
      <c r="E32" s="5" t="s">
        <v>281</v>
      </c>
      <c r="F32" s="5" t="s">
        <v>116</v>
      </c>
      <c r="G32" s="32" t="s">
        <v>227</v>
      </c>
      <c r="H32" s="5" t="s">
        <v>442</v>
      </c>
      <c r="I32" s="5" t="s">
        <v>440</v>
      </c>
    </row>
    <row r="33" ht="69.75" customHeight="1">
      <c r="A33" s="5" t="s">
        <v>435</v>
      </c>
      <c r="B33" s="5" t="s">
        <v>437</v>
      </c>
      <c r="C33" s="5" t="s">
        <v>286</v>
      </c>
      <c r="D33" s="5" t="s">
        <v>443</v>
      </c>
      <c r="E33" s="5" t="s">
        <v>116</v>
      </c>
      <c r="F33" s="5" t="s">
        <v>116</v>
      </c>
      <c r="G33" s="32" t="s">
        <v>227</v>
      </c>
      <c r="H33" s="5" t="s">
        <v>446</v>
      </c>
      <c r="I33" s="5" t="s">
        <v>440</v>
      </c>
    </row>
    <row r="34" ht="69.75" customHeight="1">
      <c r="A34" s="5" t="s">
        <v>435</v>
      </c>
      <c r="B34" s="5" t="s">
        <v>437</v>
      </c>
      <c r="C34" s="5" t="s">
        <v>325</v>
      </c>
      <c r="D34" s="5" t="s">
        <v>449</v>
      </c>
      <c r="E34" s="5" t="s">
        <v>116</v>
      </c>
      <c r="F34" s="5" t="s">
        <v>116</v>
      </c>
      <c r="G34" s="32" t="s">
        <v>227</v>
      </c>
      <c r="H34" s="5" t="s">
        <v>451</v>
      </c>
      <c r="I34" s="5" t="s">
        <v>440</v>
      </c>
    </row>
    <row r="35" ht="69.75" customHeight="1">
      <c r="A35" s="5" t="s">
        <v>454</v>
      </c>
      <c r="B35" s="5" t="s">
        <v>455</v>
      </c>
      <c r="C35" s="5" t="s">
        <v>238</v>
      </c>
      <c r="D35" s="5" t="s">
        <v>456</v>
      </c>
      <c r="E35" s="5" t="s">
        <v>281</v>
      </c>
      <c r="F35" s="5" t="s">
        <v>116</v>
      </c>
      <c r="G35" s="32" t="s">
        <v>227</v>
      </c>
      <c r="H35" s="5" t="s">
        <v>457</v>
      </c>
      <c r="I35" s="5" t="s">
        <v>411</v>
      </c>
    </row>
    <row r="36" ht="69.75" customHeight="1">
      <c r="A36" s="5" t="s">
        <v>454</v>
      </c>
      <c r="B36" s="5" t="s">
        <v>455</v>
      </c>
      <c r="C36" s="5" t="s">
        <v>223</v>
      </c>
      <c r="D36" s="5" t="s">
        <v>458</v>
      </c>
      <c r="E36" s="5" t="s">
        <v>281</v>
      </c>
      <c r="F36" s="5" t="s">
        <v>116</v>
      </c>
      <c r="G36" s="32" t="s">
        <v>227</v>
      </c>
      <c r="H36" s="5" t="s">
        <v>459</v>
      </c>
      <c r="I36" s="5" t="s">
        <v>411</v>
      </c>
    </row>
    <row r="37" ht="69.75" customHeight="1">
      <c r="A37" s="5" t="s">
        <v>454</v>
      </c>
      <c r="B37" s="5" t="s">
        <v>455</v>
      </c>
      <c r="C37" s="5" t="s">
        <v>286</v>
      </c>
      <c r="D37" s="5" t="s">
        <v>460</v>
      </c>
      <c r="E37" s="5" t="s">
        <v>116</v>
      </c>
      <c r="F37" s="5" t="s">
        <v>116</v>
      </c>
      <c r="G37" s="32" t="s">
        <v>227</v>
      </c>
      <c r="H37" s="5" t="s">
        <v>464</v>
      </c>
      <c r="I37" s="5" t="s">
        <v>411</v>
      </c>
    </row>
    <row r="38" ht="69.75" customHeight="1">
      <c r="A38" s="5" t="s">
        <v>466</v>
      </c>
      <c r="B38" s="5" t="s">
        <v>468</v>
      </c>
      <c r="C38" s="5" t="s">
        <v>238</v>
      </c>
      <c r="D38" s="5" t="s">
        <v>469</v>
      </c>
      <c r="E38" s="5" t="s">
        <v>281</v>
      </c>
      <c r="F38" s="5" t="s">
        <v>125</v>
      </c>
      <c r="G38" s="32" t="s">
        <v>227</v>
      </c>
      <c r="H38" s="5" t="s">
        <v>473</v>
      </c>
      <c r="I38" s="5" t="s">
        <v>474</v>
      </c>
    </row>
    <row r="39" ht="69.75" customHeight="1">
      <c r="A39" s="5" t="s">
        <v>466</v>
      </c>
      <c r="B39" s="5" t="s">
        <v>468</v>
      </c>
      <c r="C39" s="5" t="s">
        <v>223</v>
      </c>
      <c r="D39" s="5" t="s">
        <v>475</v>
      </c>
      <c r="E39" s="5" t="s">
        <v>281</v>
      </c>
      <c r="F39" s="5" t="s">
        <v>125</v>
      </c>
      <c r="G39" s="32" t="s">
        <v>227</v>
      </c>
      <c r="H39" s="5" t="s">
        <v>477</v>
      </c>
      <c r="I39" s="5" t="s">
        <v>474</v>
      </c>
    </row>
    <row r="40" ht="69.75" customHeight="1">
      <c r="A40" s="5" t="s">
        <v>466</v>
      </c>
      <c r="B40" s="5" t="s">
        <v>468</v>
      </c>
      <c r="C40" s="5" t="s">
        <v>286</v>
      </c>
      <c r="D40" s="5" t="s">
        <v>478</v>
      </c>
      <c r="E40" s="5" t="s">
        <v>281</v>
      </c>
      <c r="F40" s="5" t="s">
        <v>125</v>
      </c>
      <c r="G40" s="32" t="s">
        <v>227</v>
      </c>
      <c r="H40" s="5" t="s">
        <v>482</v>
      </c>
      <c r="I40" s="5" t="s">
        <v>474</v>
      </c>
    </row>
    <row r="41" ht="69.75" customHeight="1">
      <c r="A41" s="5" t="s">
        <v>466</v>
      </c>
      <c r="B41" s="5" t="s">
        <v>468</v>
      </c>
      <c r="C41" s="5" t="s">
        <v>325</v>
      </c>
      <c r="D41" s="5" t="s">
        <v>256</v>
      </c>
      <c r="E41" s="5" t="s">
        <v>281</v>
      </c>
      <c r="F41" s="5" t="s">
        <v>125</v>
      </c>
      <c r="G41" s="32" t="s">
        <v>227</v>
      </c>
      <c r="H41" s="5" t="s">
        <v>491</v>
      </c>
      <c r="I41" s="5" t="s">
        <v>474</v>
      </c>
    </row>
    <row r="42" ht="69.75" customHeight="1">
      <c r="A42" s="5" t="s">
        <v>466</v>
      </c>
      <c r="B42" s="5" t="s">
        <v>468</v>
      </c>
      <c r="C42" s="5" t="s">
        <v>328</v>
      </c>
      <c r="D42" s="5" t="s">
        <v>493</v>
      </c>
      <c r="E42" s="5" t="s">
        <v>116</v>
      </c>
      <c r="F42" s="5" t="s">
        <v>125</v>
      </c>
      <c r="G42" s="34" t="s">
        <v>247</v>
      </c>
      <c r="H42" s="5" t="s">
        <v>494</v>
      </c>
      <c r="I42" s="5" t="s">
        <v>160</v>
      </c>
    </row>
    <row r="43" ht="69.75" customHeight="1">
      <c r="A43" s="5" t="s">
        <v>495</v>
      </c>
      <c r="B43" s="5" t="s">
        <v>496</v>
      </c>
      <c r="C43" s="5" t="s">
        <v>238</v>
      </c>
      <c r="D43" s="5" t="s">
        <v>497</v>
      </c>
      <c r="E43" s="5" t="s">
        <v>281</v>
      </c>
      <c r="F43" s="5" t="s">
        <v>116</v>
      </c>
      <c r="G43" s="32" t="s">
        <v>227</v>
      </c>
      <c r="H43" s="5" t="s">
        <v>498</v>
      </c>
      <c r="I43" s="5" t="s">
        <v>499</v>
      </c>
    </row>
    <row r="44" ht="69.75" customHeight="1">
      <c r="A44" s="5" t="s">
        <v>501</v>
      </c>
      <c r="B44" s="5" t="s">
        <v>503</v>
      </c>
      <c r="C44" s="5" t="s">
        <v>238</v>
      </c>
      <c r="D44" s="5" t="s">
        <v>505</v>
      </c>
      <c r="E44" s="5" t="s">
        <v>116</v>
      </c>
      <c r="F44" s="5" t="s">
        <v>116</v>
      </c>
      <c r="G44" s="32" t="s">
        <v>227</v>
      </c>
      <c r="H44" s="5" t="s">
        <v>508</v>
      </c>
      <c r="I44" s="5" t="s">
        <v>499</v>
      </c>
    </row>
    <row r="45" ht="69.75" customHeight="1">
      <c r="A45" s="5" t="s">
        <v>511</v>
      </c>
      <c r="B45" s="5" t="s">
        <v>512</v>
      </c>
      <c r="C45" s="5" t="s">
        <v>238</v>
      </c>
      <c r="D45" s="5" t="s">
        <v>513</v>
      </c>
      <c r="E45" s="5" t="s">
        <v>281</v>
      </c>
      <c r="F45" s="5" t="s">
        <v>116</v>
      </c>
      <c r="G45" s="32" t="s">
        <v>227</v>
      </c>
      <c r="H45" s="5" t="s">
        <v>516</v>
      </c>
      <c r="I45" s="5" t="s">
        <v>423</v>
      </c>
    </row>
    <row r="46" ht="69.75" customHeight="1">
      <c r="A46" s="5" t="s">
        <v>511</v>
      </c>
      <c r="B46" s="5" t="s">
        <v>512</v>
      </c>
      <c r="C46" s="5" t="s">
        <v>223</v>
      </c>
      <c r="D46" s="5" t="s">
        <v>520</v>
      </c>
      <c r="E46" s="5" t="s">
        <v>116</v>
      </c>
      <c r="F46" s="5" t="s">
        <v>116</v>
      </c>
      <c r="G46" s="32" t="s">
        <v>227</v>
      </c>
      <c r="H46" s="5" t="s">
        <v>523</v>
      </c>
      <c r="I46" s="5" t="s">
        <v>423</v>
      </c>
    </row>
    <row r="47" ht="69.75" customHeight="1">
      <c r="A47" s="5" t="s">
        <v>524</v>
      </c>
      <c r="B47" s="5" t="s">
        <v>526</v>
      </c>
      <c r="C47" s="5" t="s">
        <v>238</v>
      </c>
      <c r="D47" s="5" t="s">
        <v>529</v>
      </c>
      <c r="E47" s="5" t="s">
        <v>281</v>
      </c>
      <c r="F47" s="5" t="s">
        <v>116</v>
      </c>
      <c r="G47" s="32" t="s">
        <v>227</v>
      </c>
      <c r="H47" s="5" t="s">
        <v>531</v>
      </c>
      <c r="I47" s="5" t="s">
        <v>423</v>
      </c>
    </row>
    <row r="48" ht="69.75" customHeight="1">
      <c r="A48" s="5" t="s">
        <v>524</v>
      </c>
      <c r="B48" s="5" t="s">
        <v>526</v>
      </c>
      <c r="C48" s="5" t="s">
        <v>223</v>
      </c>
      <c r="D48" s="5" t="s">
        <v>536</v>
      </c>
      <c r="E48" s="5" t="s">
        <v>116</v>
      </c>
      <c r="F48" s="5" t="s">
        <v>116</v>
      </c>
      <c r="G48" s="32" t="s">
        <v>227</v>
      </c>
      <c r="H48" s="5" t="s">
        <v>538</v>
      </c>
      <c r="I48" s="5" t="s">
        <v>423</v>
      </c>
    </row>
    <row r="49" ht="69.75" customHeight="1">
      <c r="A49" s="5" t="s">
        <v>542</v>
      </c>
      <c r="B49" s="5" t="s">
        <v>543</v>
      </c>
      <c r="C49" s="5" t="s">
        <v>238</v>
      </c>
      <c r="D49" s="5" t="s">
        <v>545</v>
      </c>
      <c r="E49" s="5" t="s">
        <v>281</v>
      </c>
      <c r="F49" s="5" t="s">
        <v>116</v>
      </c>
      <c r="G49" s="32" t="s">
        <v>227</v>
      </c>
      <c r="H49" s="5" t="s">
        <v>546</v>
      </c>
      <c r="I49" s="5" t="s">
        <v>423</v>
      </c>
    </row>
    <row r="50" ht="69.75" customHeight="1">
      <c r="A50" s="5" t="s">
        <v>542</v>
      </c>
      <c r="B50" s="5" t="s">
        <v>543</v>
      </c>
      <c r="C50" s="5" t="s">
        <v>223</v>
      </c>
      <c r="D50" s="5" t="s">
        <v>548</v>
      </c>
      <c r="E50" s="5" t="s">
        <v>281</v>
      </c>
      <c r="F50" s="5" t="s">
        <v>116</v>
      </c>
      <c r="G50" s="32" t="s">
        <v>227</v>
      </c>
      <c r="H50" s="5" t="s">
        <v>550</v>
      </c>
      <c r="I50" s="5" t="s">
        <v>423</v>
      </c>
    </row>
    <row r="51" ht="69.75" customHeight="1">
      <c r="A51" s="5" t="s">
        <v>551</v>
      </c>
      <c r="B51" s="5" t="s">
        <v>552</v>
      </c>
      <c r="C51" s="5" t="s">
        <v>238</v>
      </c>
      <c r="D51" s="5" t="s">
        <v>553</v>
      </c>
      <c r="E51" s="5" t="s">
        <v>281</v>
      </c>
      <c r="F51" s="5" t="s">
        <v>116</v>
      </c>
      <c r="G51" s="32" t="s">
        <v>227</v>
      </c>
      <c r="H51" s="5" t="s">
        <v>557</v>
      </c>
      <c r="I51" s="5" t="s">
        <v>560</v>
      </c>
    </row>
    <row r="52" ht="69.75" customHeight="1">
      <c r="A52" s="5" t="s">
        <v>551</v>
      </c>
      <c r="B52" s="5" t="s">
        <v>552</v>
      </c>
      <c r="C52" s="5" t="s">
        <v>223</v>
      </c>
      <c r="D52" s="5" t="s">
        <v>562</v>
      </c>
      <c r="E52" s="5" t="s">
        <v>281</v>
      </c>
      <c r="F52" s="5" t="s">
        <v>116</v>
      </c>
      <c r="G52" s="32" t="s">
        <v>227</v>
      </c>
      <c r="H52" s="5" t="s">
        <v>564</v>
      </c>
      <c r="I52" s="5" t="s">
        <v>560</v>
      </c>
    </row>
    <row r="53" ht="69.75" customHeight="1">
      <c r="A53" s="5" t="s">
        <v>551</v>
      </c>
      <c r="B53" s="5" t="s">
        <v>552</v>
      </c>
      <c r="C53" s="5" t="s">
        <v>286</v>
      </c>
      <c r="D53" s="5" t="s">
        <v>570</v>
      </c>
      <c r="E53" s="5" t="s">
        <v>116</v>
      </c>
      <c r="F53" s="5" t="s">
        <v>116</v>
      </c>
      <c r="G53" s="32" t="s">
        <v>227</v>
      </c>
      <c r="H53" s="5" t="s">
        <v>571</v>
      </c>
      <c r="I53" s="5" t="s">
        <v>560</v>
      </c>
    </row>
    <row r="54" ht="69.75" customHeight="1">
      <c r="A54" s="5" t="s">
        <v>551</v>
      </c>
      <c r="B54" s="5" t="s">
        <v>552</v>
      </c>
      <c r="C54" s="5" t="s">
        <v>325</v>
      </c>
      <c r="D54" s="5" t="s">
        <v>573</v>
      </c>
      <c r="E54" s="5" t="s">
        <v>116</v>
      </c>
      <c r="F54" s="5" t="s">
        <v>116</v>
      </c>
      <c r="G54" s="32" t="s">
        <v>227</v>
      </c>
      <c r="H54" s="5" t="s">
        <v>575</v>
      </c>
      <c r="I54" s="5" t="s">
        <v>560</v>
      </c>
    </row>
    <row r="55" ht="69.75" customHeight="1">
      <c r="A55" s="5" t="s">
        <v>551</v>
      </c>
      <c r="B55" s="5" t="s">
        <v>552</v>
      </c>
      <c r="C55" s="5" t="s">
        <v>328</v>
      </c>
      <c r="D55" s="5" t="s">
        <v>578</v>
      </c>
      <c r="E55" s="5" t="s">
        <v>116</v>
      </c>
      <c r="F55" s="5" t="s">
        <v>116</v>
      </c>
      <c r="G55" s="32" t="s">
        <v>227</v>
      </c>
      <c r="H55" s="5" t="s">
        <v>584</v>
      </c>
      <c r="I55" s="5" t="s">
        <v>560</v>
      </c>
    </row>
    <row r="56" ht="69.75" customHeight="1">
      <c r="A56" s="5" t="s">
        <v>551</v>
      </c>
      <c r="B56" s="5" t="s">
        <v>552</v>
      </c>
      <c r="C56" s="5" t="s">
        <v>358</v>
      </c>
      <c r="D56" s="5" t="s">
        <v>587</v>
      </c>
      <c r="E56" s="5" t="s">
        <v>116</v>
      </c>
      <c r="F56" s="5" t="s">
        <v>116</v>
      </c>
      <c r="G56" s="32" t="s">
        <v>227</v>
      </c>
      <c r="H56" s="5" t="s">
        <v>592</v>
      </c>
      <c r="I56" s="5" t="s">
        <v>560</v>
      </c>
    </row>
    <row r="57" ht="69.75" customHeight="1">
      <c r="A57" s="5" t="s">
        <v>595</v>
      </c>
      <c r="B57" s="5" t="s">
        <v>596</v>
      </c>
      <c r="C57" s="5" t="s">
        <v>238</v>
      </c>
      <c r="D57" s="5" t="s">
        <v>597</v>
      </c>
      <c r="E57" s="5" t="s">
        <v>281</v>
      </c>
      <c r="F57" s="5" t="s">
        <v>116</v>
      </c>
      <c r="G57" s="32" t="s">
        <v>227</v>
      </c>
      <c r="H57" s="5" t="s">
        <v>599</v>
      </c>
      <c r="I57" s="5" t="s">
        <v>293</v>
      </c>
    </row>
    <row r="58" ht="69.75" customHeight="1">
      <c r="A58" s="5" t="s">
        <v>601</v>
      </c>
      <c r="B58" s="5" t="s">
        <v>602</v>
      </c>
      <c r="C58" s="5" t="s">
        <v>238</v>
      </c>
      <c r="D58" s="5" t="s">
        <v>603</v>
      </c>
      <c r="E58" s="5" t="s">
        <v>281</v>
      </c>
      <c r="F58" s="5" t="s">
        <v>116</v>
      </c>
      <c r="G58" s="32" t="s">
        <v>227</v>
      </c>
      <c r="H58" s="5" t="s">
        <v>604</v>
      </c>
      <c r="I58" s="5" t="s">
        <v>499</v>
      </c>
    </row>
    <row r="59" ht="69.75" customHeight="1">
      <c r="A59" s="5" t="s">
        <v>606</v>
      </c>
      <c r="B59" s="5" t="s">
        <v>608</v>
      </c>
      <c r="C59" s="5" t="s">
        <v>238</v>
      </c>
      <c r="D59" s="5" t="s">
        <v>610</v>
      </c>
      <c r="E59" s="5" t="s">
        <v>281</v>
      </c>
      <c r="F59" s="5" t="s">
        <v>116</v>
      </c>
      <c r="G59" s="32" t="s">
        <v>227</v>
      </c>
      <c r="H59" s="5" t="s">
        <v>615</v>
      </c>
      <c r="I59" s="5" t="s">
        <v>499</v>
      </c>
    </row>
    <row r="60" ht="69.75" customHeight="1">
      <c r="A60" s="5" t="s">
        <v>616</v>
      </c>
      <c r="B60" s="5" t="s">
        <v>617</v>
      </c>
      <c r="C60" s="5" t="s">
        <v>238</v>
      </c>
      <c r="D60" s="5" t="s">
        <v>619</v>
      </c>
      <c r="E60" s="5" t="s">
        <v>116</v>
      </c>
      <c r="F60" s="5" t="s">
        <v>116</v>
      </c>
      <c r="G60" s="32" t="s">
        <v>227</v>
      </c>
      <c r="H60" s="5" t="s">
        <v>622</v>
      </c>
      <c r="I60" s="5" t="s">
        <v>623</v>
      </c>
    </row>
    <row r="61" ht="69.75" customHeight="1">
      <c r="A61" s="5" t="s">
        <v>624</v>
      </c>
      <c r="B61" s="5" t="s">
        <v>625</v>
      </c>
      <c r="C61" s="5" t="s">
        <v>238</v>
      </c>
      <c r="D61" s="5" t="s">
        <v>626</v>
      </c>
      <c r="E61" s="5" t="s">
        <v>116</v>
      </c>
      <c r="F61" s="5" t="s">
        <v>116</v>
      </c>
      <c r="G61" s="32" t="s">
        <v>227</v>
      </c>
      <c r="H61" s="5" t="s">
        <v>629</v>
      </c>
      <c r="I61" s="5" t="s">
        <v>423</v>
      </c>
    </row>
    <row r="62" ht="69.75" customHeight="1">
      <c r="A62" s="5" t="s">
        <v>624</v>
      </c>
      <c r="B62" s="5" t="s">
        <v>625</v>
      </c>
      <c r="C62" s="5" t="s">
        <v>223</v>
      </c>
      <c r="D62" s="5" t="s">
        <v>630</v>
      </c>
      <c r="E62" s="5" t="s">
        <v>116</v>
      </c>
      <c r="F62" s="5" t="s">
        <v>116</v>
      </c>
      <c r="G62" s="32" t="s">
        <v>227</v>
      </c>
      <c r="H62" s="5" t="s">
        <v>632</v>
      </c>
      <c r="I62" s="5" t="s">
        <v>423</v>
      </c>
    </row>
    <row r="63" ht="69.75" customHeight="1">
      <c r="A63" s="5" t="s">
        <v>633</v>
      </c>
      <c r="B63" s="5" t="s">
        <v>635</v>
      </c>
      <c r="C63" s="5" t="s">
        <v>238</v>
      </c>
      <c r="D63" s="5" t="s">
        <v>639</v>
      </c>
      <c r="E63" s="5" t="s">
        <v>281</v>
      </c>
      <c r="F63" s="5" t="s">
        <v>116</v>
      </c>
      <c r="G63" s="32" t="s">
        <v>227</v>
      </c>
      <c r="H63" s="5" t="s">
        <v>641</v>
      </c>
      <c r="I63" s="5" t="s">
        <v>643</v>
      </c>
    </row>
    <row r="64" ht="69.75" customHeight="1">
      <c r="A64" s="5" t="s">
        <v>645</v>
      </c>
      <c r="B64" s="5" t="s">
        <v>647</v>
      </c>
      <c r="C64" s="5" t="s">
        <v>238</v>
      </c>
      <c r="D64" s="5" t="s">
        <v>649</v>
      </c>
      <c r="E64" s="5" t="s">
        <v>281</v>
      </c>
      <c r="F64" s="5" t="s">
        <v>116</v>
      </c>
      <c r="G64" s="32" t="s">
        <v>227</v>
      </c>
      <c r="H64" s="5" t="s">
        <v>653</v>
      </c>
      <c r="I64" s="5" t="s">
        <v>411</v>
      </c>
    </row>
    <row r="65" ht="69.75" customHeight="1">
      <c r="A65" s="5" t="s">
        <v>645</v>
      </c>
      <c r="B65" s="5" t="s">
        <v>647</v>
      </c>
      <c r="C65" s="5" t="s">
        <v>223</v>
      </c>
      <c r="D65" s="5" t="s">
        <v>660</v>
      </c>
      <c r="E65" s="5" t="s">
        <v>116</v>
      </c>
      <c r="F65" s="5" t="s">
        <v>116</v>
      </c>
      <c r="G65" s="32" t="s">
        <v>227</v>
      </c>
      <c r="H65" s="5" t="s">
        <v>662</v>
      </c>
      <c r="I65" s="5" t="s">
        <v>411</v>
      </c>
    </row>
    <row r="66" ht="69.75" customHeight="1">
      <c r="A66" s="5" t="s">
        <v>645</v>
      </c>
      <c r="B66" s="5" t="s">
        <v>647</v>
      </c>
      <c r="C66" s="5" t="s">
        <v>286</v>
      </c>
      <c r="D66" s="5" t="s">
        <v>639</v>
      </c>
      <c r="E66" s="5" t="s">
        <v>116</v>
      </c>
      <c r="F66" s="5" t="s">
        <v>116</v>
      </c>
      <c r="G66" s="32" t="s">
        <v>227</v>
      </c>
      <c r="H66" s="5" t="s">
        <v>664</v>
      </c>
      <c r="I66" s="5" t="s">
        <v>411</v>
      </c>
    </row>
    <row r="67" ht="69.75" customHeight="1">
      <c r="A67" s="5" t="s">
        <v>665</v>
      </c>
      <c r="B67" s="5" t="s">
        <v>667</v>
      </c>
      <c r="C67" s="5" t="s">
        <v>238</v>
      </c>
      <c r="D67" s="5" t="s">
        <v>668</v>
      </c>
      <c r="E67" s="5" t="s">
        <v>281</v>
      </c>
      <c r="F67" s="5" t="s">
        <v>116</v>
      </c>
      <c r="G67" s="32" t="s">
        <v>227</v>
      </c>
      <c r="H67" s="5" t="s">
        <v>672</v>
      </c>
      <c r="I67" s="5" t="s">
        <v>673</v>
      </c>
    </row>
    <row r="68" ht="69.75" customHeight="1">
      <c r="A68" s="5" t="s">
        <v>665</v>
      </c>
      <c r="B68" s="5" t="s">
        <v>667</v>
      </c>
      <c r="C68" s="5" t="s">
        <v>223</v>
      </c>
      <c r="D68" s="5" t="s">
        <v>649</v>
      </c>
      <c r="E68" s="5" t="s">
        <v>281</v>
      </c>
      <c r="F68" s="5" t="s">
        <v>116</v>
      </c>
      <c r="G68" s="32" t="s">
        <v>227</v>
      </c>
      <c r="H68" s="5" t="s">
        <v>678</v>
      </c>
      <c r="I68" s="5" t="s">
        <v>673</v>
      </c>
    </row>
    <row r="69" ht="69.75" customHeight="1">
      <c r="A69" s="5" t="s">
        <v>665</v>
      </c>
      <c r="B69" s="5" t="s">
        <v>667</v>
      </c>
      <c r="C69" s="5" t="s">
        <v>286</v>
      </c>
      <c r="D69" s="5" t="s">
        <v>660</v>
      </c>
      <c r="E69" s="5" t="s">
        <v>116</v>
      </c>
      <c r="F69" s="5" t="s">
        <v>116</v>
      </c>
      <c r="G69" s="32" t="s">
        <v>227</v>
      </c>
      <c r="H69" s="5" t="s">
        <v>682</v>
      </c>
      <c r="I69" s="5" t="s">
        <v>673</v>
      </c>
    </row>
    <row r="70" ht="69.75" customHeight="1">
      <c r="A70" s="5" t="s">
        <v>665</v>
      </c>
      <c r="B70" s="5" t="s">
        <v>667</v>
      </c>
      <c r="C70" s="5" t="s">
        <v>325</v>
      </c>
      <c r="D70" s="5" t="s">
        <v>639</v>
      </c>
      <c r="E70" s="5" t="s">
        <v>116</v>
      </c>
      <c r="F70" s="5" t="s">
        <v>116</v>
      </c>
      <c r="G70" s="32" t="s">
        <v>227</v>
      </c>
      <c r="H70" s="5" t="s">
        <v>684</v>
      </c>
      <c r="I70" s="5" t="s">
        <v>673</v>
      </c>
    </row>
    <row r="71" ht="69.75" customHeight="1">
      <c r="A71" s="5" t="s">
        <v>686</v>
      </c>
      <c r="B71" s="5" t="s">
        <v>687</v>
      </c>
      <c r="C71" s="5" t="s">
        <v>223</v>
      </c>
      <c r="D71" s="5" t="s">
        <v>688</v>
      </c>
      <c r="E71" s="5" t="s">
        <v>281</v>
      </c>
      <c r="F71" s="5" t="s">
        <v>116</v>
      </c>
      <c r="G71" s="36" t="s">
        <v>320</v>
      </c>
      <c r="H71" s="5" t="s">
        <v>691</v>
      </c>
      <c r="I71" s="5" t="s">
        <v>692</v>
      </c>
    </row>
    <row r="72" ht="69.75" customHeight="1">
      <c r="A72" s="5" t="s">
        <v>686</v>
      </c>
      <c r="B72" s="5" t="s">
        <v>687</v>
      </c>
      <c r="C72" s="5" t="s">
        <v>286</v>
      </c>
      <c r="D72" s="5" t="s">
        <v>695</v>
      </c>
      <c r="E72" s="5" t="s">
        <v>281</v>
      </c>
      <c r="F72" s="5" t="s">
        <v>116</v>
      </c>
      <c r="G72" s="36" t="s">
        <v>320</v>
      </c>
      <c r="H72" s="5" t="s">
        <v>697</v>
      </c>
      <c r="I72" s="5" t="s">
        <v>692</v>
      </c>
    </row>
    <row r="73" ht="69.75" customHeight="1">
      <c r="A73" s="5" t="s">
        <v>686</v>
      </c>
      <c r="B73" s="5" t="s">
        <v>687</v>
      </c>
      <c r="C73" s="5" t="s">
        <v>325</v>
      </c>
      <c r="D73" s="5" t="s">
        <v>702</v>
      </c>
      <c r="E73" s="5" t="s">
        <v>116</v>
      </c>
      <c r="F73" s="5" t="s">
        <v>116</v>
      </c>
      <c r="G73" s="32" t="s">
        <v>227</v>
      </c>
      <c r="H73" s="5" t="s">
        <v>706</v>
      </c>
      <c r="I73" s="5" t="s">
        <v>692</v>
      </c>
    </row>
    <row r="74" ht="69.75" customHeight="1">
      <c r="A74" s="5" t="s">
        <v>686</v>
      </c>
      <c r="B74" s="5" t="s">
        <v>687</v>
      </c>
      <c r="C74" s="5" t="s">
        <v>238</v>
      </c>
      <c r="D74" s="5" t="s">
        <v>708</v>
      </c>
      <c r="E74" s="5" t="s">
        <v>125</v>
      </c>
      <c r="F74" s="5" t="s">
        <v>116</v>
      </c>
      <c r="G74" s="34" t="s">
        <v>247</v>
      </c>
      <c r="H74" s="5" t="s">
        <v>711</v>
      </c>
      <c r="I74" s="5" t="s">
        <v>160</v>
      </c>
    </row>
    <row r="75" ht="69.75" customHeight="1">
      <c r="A75" s="5" t="s">
        <v>712</v>
      </c>
      <c r="B75" s="5" t="s">
        <v>713</v>
      </c>
      <c r="C75" s="5" t="s">
        <v>238</v>
      </c>
      <c r="D75" s="5" t="s">
        <v>639</v>
      </c>
      <c r="E75" s="5" t="s">
        <v>116</v>
      </c>
      <c r="F75" s="5" t="s">
        <v>116</v>
      </c>
      <c r="G75" s="32" t="s">
        <v>227</v>
      </c>
      <c r="H75" s="5" t="s">
        <v>715</v>
      </c>
      <c r="I75" s="5" t="s">
        <v>716</v>
      </c>
    </row>
    <row r="76" ht="69.75" customHeight="1">
      <c r="A76" s="5" t="s">
        <v>712</v>
      </c>
      <c r="B76" s="5" t="s">
        <v>713</v>
      </c>
      <c r="C76" s="5" t="s">
        <v>223</v>
      </c>
      <c r="D76" s="5" t="s">
        <v>417</v>
      </c>
      <c r="E76" s="5" t="s">
        <v>116</v>
      </c>
      <c r="F76" s="5" t="s">
        <v>116</v>
      </c>
      <c r="G76" s="32" t="s">
        <v>227</v>
      </c>
      <c r="H76" s="5" t="s">
        <v>723</v>
      </c>
      <c r="I76" s="5" t="s">
        <v>716</v>
      </c>
    </row>
    <row r="77" ht="69.75" customHeight="1">
      <c r="A77" s="5" t="s">
        <v>726</v>
      </c>
      <c r="B77" s="5" t="s">
        <v>727</v>
      </c>
      <c r="C77" s="5" t="s">
        <v>238</v>
      </c>
      <c r="D77" s="5" t="s">
        <v>639</v>
      </c>
      <c r="E77" s="5" t="s">
        <v>281</v>
      </c>
      <c r="F77" s="5" t="s">
        <v>116</v>
      </c>
      <c r="G77" s="32" t="s">
        <v>227</v>
      </c>
      <c r="H77" s="5" t="s">
        <v>731</v>
      </c>
      <c r="I77" s="5" t="s">
        <v>643</v>
      </c>
    </row>
    <row r="78" ht="69.75" customHeight="1">
      <c r="A78" s="5" t="s">
        <v>732</v>
      </c>
      <c r="B78" s="5" t="s">
        <v>733</v>
      </c>
      <c r="C78" s="5" t="s">
        <v>238</v>
      </c>
      <c r="D78" s="5" t="s">
        <v>735</v>
      </c>
      <c r="E78" s="5" t="s">
        <v>281</v>
      </c>
      <c r="F78" s="5" t="s">
        <v>116</v>
      </c>
      <c r="G78" s="32" t="s">
        <v>227</v>
      </c>
      <c r="H78" s="5" t="s">
        <v>736</v>
      </c>
      <c r="I78" s="5" t="s">
        <v>737</v>
      </c>
    </row>
    <row r="79" ht="69.75" customHeight="1">
      <c r="A79" s="5" t="s">
        <v>732</v>
      </c>
      <c r="B79" s="5" t="s">
        <v>733</v>
      </c>
      <c r="C79" s="5" t="s">
        <v>223</v>
      </c>
      <c r="D79" s="5" t="s">
        <v>739</v>
      </c>
      <c r="E79" s="5" t="s">
        <v>281</v>
      </c>
      <c r="F79" s="5" t="s">
        <v>116</v>
      </c>
      <c r="G79" s="32" t="s">
        <v>227</v>
      </c>
      <c r="H79" s="5" t="s">
        <v>742</v>
      </c>
      <c r="I79" s="5" t="s">
        <v>737</v>
      </c>
    </row>
    <row r="80" ht="69.75" customHeight="1">
      <c r="A80" s="5" t="s">
        <v>732</v>
      </c>
      <c r="B80" s="5" t="s">
        <v>733</v>
      </c>
      <c r="C80" s="5" t="s">
        <v>286</v>
      </c>
      <c r="D80" s="5" t="s">
        <v>746</v>
      </c>
      <c r="E80" s="5" t="s">
        <v>281</v>
      </c>
      <c r="F80" s="5" t="s">
        <v>116</v>
      </c>
      <c r="G80" s="32" t="s">
        <v>227</v>
      </c>
      <c r="H80" s="5" t="s">
        <v>750</v>
      </c>
      <c r="I80" s="5" t="s">
        <v>737</v>
      </c>
    </row>
    <row r="81" ht="69.75" customHeight="1">
      <c r="A81" s="5" t="s">
        <v>732</v>
      </c>
      <c r="B81" s="5" t="s">
        <v>733</v>
      </c>
      <c r="C81" s="5" t="s">
        <v>325</v>
      </c>
      <c r="D81" s="5" t="s">
        <v>755</v>
      </c>
      <c r="E81" s="5" t="s">
        <v>281</v>
      </c>
      <c r="F81" s="5" t="s">
        <v>116</v>
      </c>
      <c r="G81" s="32" t="s">
        <v>227</v>
      </c>
      <c r="H81" s="5" t="s">
        <v>757</v>
      </c>
      <c r="I81" s="5" t="s">
        <v>737</v>
      </c>
    </row>
    <row r="82" ht="69.75" customHeight="1">
      <c r="A82" s="5" t="s">
        <v>758</v>
      </c>
      <c r="B82" s="5" t="s">
        <v>759</v>
      </c>
      <c r="C82" s="5" t="s">
        <v>238</v>
      </c>
      <c r="D82" s="5" t="s">
        <v>760</v>
      </c>
      <c r="E82" s="5" t="s">
        <v>281</v>
      </c>
      <c r="F82" s="5" t="s">
        <v>116</v>
      </c>
      <c r="G82" s="32" t="s">
        <v>227</v>
      </c>
      <c r="H82" s="5" t="s">
        <v>761</v>
      </c>
      <c r="I82" s="5" t="s">
        <v>499</v>
      </c>
    </row>
    <row r="83" ht="69.75" customHeight="1">
      <c r="A83" s="5" t="s">
        <v>762</v>
      </c>
      <c r="B83" s="5" t="s">
        <v>763</v>
      </c>
      <c r="C83" s="5" t="s">
        <v>238</v>
      </c>
      <c r="D83" s="5" t="s">
        <v>765</v>
      </c>
      <c r="E83" s="5" t="s">
        <v>281</v>
      </c>
      <c r="F83" s="5" t="s">
        <v>116</v>
      </c>
      <c r="G83" s="32" t="s">
        <v>227</v>
      </c>
      <c r="H83" s="5" t="s">
        <v>766</v>
      </c>
      <c r="I83" s="5" t="s">
        <v>767</v>
      </c>
    </row>
    <row r="84" ht="69.75" customHeight="1">
      <c r="A84" s="5" t="s">
        <v>762</v>
      </c>
      <c r="B84" s="5" t="s">
        <v>763</v>
      </c>
      <c r="C84" s="5" t="s">
        <v>223</v>
      </c>
      <c r="D84" s="5" t="s">
        <v>649</v>
      </c>
      <c r="E84" s="5" t="s">
        <v>281</v>
      </c>
      <c r="F84" s="5" t="s">
        <v>116</v>
      </c>
      <c r="G84" s="32" t="s">
        <v>227</v>
      </c>
      <c r="H84" s="5" t="s">
        <v>777</v>
      </c>
      <c r="I84" s="5" t="s">
        <v>767</v>
      </c>
    </row>
    <row r="85" ht="69.75" customHeight="1">
      <c r="A85" s="5" t="s">
        <v>762</v>
      </c>
      <c r="B85" s="5" t="s">
        <v>763</v>
      </c>
      <c r="C85" s="5" t="s">
        <v>286</v>
      </c>
      <c r="D85" s="5" t="s">
        <v>783</v>
      </c>
      <c r="E85" s="5" t="s">
        <v>281</v>
      </c>
      <c r="F85" s="5" t="s">
        <v>116</v>
      </c>
      <c r="G85" s="32" t="s">
        <v>227</v>
      </c>
      <c r="H85" s="5" t="s">
        <v>784</v>
      </c>
      <c r="I85" s="5" t="s">
        <v>767</v>
      </c>
    </row>
    <row r="86" ht="69.75" customHeight="1">
      <c r="A86" s="5" t="s">
        <v>762</v>
      </c>
      <c r="B86" s="5" t="s">
        <v>763</v>
      </c>
      <c r="C86" s="5" t="s">
        <v>325</v>
      </c>
      <c r="D86" s="5" t="s">
        <v>786</v>
      </c>
      <c r="E86" s="5" t="s">
        <v>116</v>
      </c>
      <c r="F86" s="5" t="s">
        <v>116</v>
      </c>
      <c r="G86" s="32" t="s">
        <v>227</v>
      </c>
      <c r="H86" s="5" t="s">
        <v>787</v>
      </c>
      <c r="I86" s="5" t="s">
        <v>767</v>
      </c>
    </row>
    <row r="87" ht="69.75" customHeight="1">
      <c r="A87" s="5" t="s">
        <v>788</v>
      </c>
      <c r="B87" s="5" t="s">
        <v>417</v>
      </c>
      <c r="C87" s="5" t="s">
        <v>238</v>
      </c>
      <c r="D87" s="5" t="s">
        <v>790</v>
      </c>
      <c r="E87" s="5" t="s">
        <v>281</v>
      </c>
      <c r="F87" s="5" t="s">
        <v>116</v>
      </c>
      <c r="G87" s="32" t="s">
        <v>227</v>
      </c>
      <c r="H87" s="5" t="s">
        <v>793</v>
      </c>
      <c r="I87" s="5" t="s">
        <v>795</v>
      </c>
    </row>
    <row r="88" ht="69.75" customHeight="1">
      <c r="A88" s="5" t="s">
        <v>788</v>
      </c>
      <c r="B88" s="5" t="s">
        <v>417</v>
      </c>
      <c r="C88" s="5" t="s">
        <v>223</v>
      </c>
      <c r="D88" s="5" t="s">
        <v>797</v>
      </c>
      <c r="E88" s="5" t="s">
        <v>116</v>
      </c>
      <c r="F88" s="5" t="s">
        <v>116</v>
      </c>
      <c r="G88" s="32" t="s">
        <v>227</v>
      </c>
      <c r="H88" s="5" t="s">
        <v>801</v>
      </c>
      <c r="I88" s="5" t="s">
        <v>795</v>
      </c>
    </row>
    <row r="89" ht="69.75" customHeight="1">
      <c r="A89" s="5" t="s">
        <v>802</v>
      </c>
      <c r="B89" s="5" t="s">
        <v>803</v>
      </c>
      <c r="C89" s="5" t="s">
        <v>223</v>
      </c>
      <c r="D89" s="5" t="s">
        <v>805</v>
      </c>
      <c r="E89" s="5" t="s">
        <v>317</v>
      </c>
      <c r="F89" s="5" t="s">
        <v>116</v>
      </c>
      <c r="G89" s="32" t="s">
        <v>227</v>
      </c>
      <c r="H89" s="5" t="s">
        <v>807</v>
      </c>
      <c r="I89" s="5" t="s">
        <v>808</v>
      </c>
    </row>
    <row r="90" ht="69.75" customHeight="1">
      <c r="A90" s="5" t="s">
        <v>802</v>
      </c>
      <c r="B90" s="5" t="s">
        <v>803</v>
      </c>
      <c r="C90" s="5" t="s">
        <v>286</v>
      </c>
      <c r="D90" s="5" t="s">
        <v>810</v>
      </c>
      <c r="E90" s="5" t="s">
        <v>116</v>
      </c>
      <c r="F90" s="5" t="s">
        <v>116</v>
      </c>
      <c r="G90" s="32" t="s">
        <v>227</v>
      </c>
      <c r="H90" s="5" t="s">
        <v>813</v>
      </c>
      <c r="I90" s="5" t="s">
        <v>808</v>
      </c>
    </row>
    <row r="91" ht="69.75" customHeight="1">
      <c r="A91" s="5" t="s">
        <v>802</v>
      </c>
      <c r="B91" s="5" t="s">
        <v>803</v>
      </c>
      <c r="C91" s="5" t="s">
        <v>238</v>
      </c>
      <c r="D91" s="5" t="s">
        <v>815</v>
      </c>
      <c r="E91" s="5" t="s">
        <v>816</v>
      </c>
      <c r="F91" s="5" t="s">
        <v>116</v>
      </c>
      <c r="G91" s="34" t="s">
        <v>247</v>
      </c>
      <c r="H91" s="5" t="s">
        <v>818</v>
      </c>
      <c r="I91" s="5" t="s">
        <v>160</v>
      </c>
    </row>
    <row r="92" ht="69.75" customHeight="1">
      <c r="A92" s="5" t="s">
        <v>820</v>
      </c>
      <c r="B92" s="5" t="s">
        <v>821</v>
      </c>
      <c r="C92" s="5" t="s">
        <v>238</v>
      </c>
      <c r="D92" s="5" t="s">
        <v>822</v>
      </c>
      <c r="E92" s="5" t="s">
        <v>116</v>
      </c>
      <c r="F92" s="5" t="s">
        <v>116</v>
      </c>
      <c r="G92" s="32" t="s">
        <v>227</v>
      </c>
      <c r="H92" s="5" t="s">
        <v>824</v>
      </c>
      <c r="I92" s="5" t="s">
        <v>499</v>
      </c>
    </row>
    <row r="93" ht="69.75" customHeight="1">
      <c r="A93" s="5" t="s">
        <v>826</v>
      </c>
      <c r="B93" s="5" t="s">
        <v>828</v>
      </c>
      <c r="C93" s="5" t="s">
        <v>238</v>
      </c>
      <c r="D93" s="5" t="s">
        <v>829</v>
      </c>
      <c r="E93" s="5" t="s">
        <v>116</v>
      </c>
      <c r="F93" s="5" t="s">
        <v>116</v>
      </c>
      <c r="G93" s="32" t="s">
        <v>227</v>
      </c>
      <c r="H93" s="5" t="s">
        <v>834</v>
      </c>
      <c r="I93" s="5" t="s">
        <v>293</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93"/>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7.0"/>
    <col customWidth="1" min="2" max="2" width="22.0"/>
    <col customWidth="1" min="3" max="3" width="36.0"/>
    <col customWidth="1" min="4" max="4" width="34.0"/>
    <col customWidth="1" min="5" max="6" width="32.0"/>
    <col customWidth="1" min="7" max="7" width="60.0"/>
    <col customWidth="1" min="8" max="8" width="40.0"/>
    <col customWidth="1" min="9" max="9" width="32.0"/>
    <col customWidth="1" min="10" max="10" width="22.0"/>
  </cols>
  <sheetData>
    <row r="1">
      <c r="A1" s="3" t="s">
        <v>191</v>
      </c>
    </row>
    <row r="3" ht="31.5" customHeight="1">
      <c r="A3" s="2" t="s">
        <v>72</v>
      </c>
      <c r="B3" s="2" t="s">
        <v>196</v>
      </c>
      <c r="C3" s="2" t="s">
        <v>198</v>
      </c>
      <c r="D3" s="2" t="s">
        <v>200</v>
      </c>
      <c r="E3" s="2" t="s">
        <v>202</v>
      </c>
      <c r="F3" s="2" t="s">
        <v>205</v>
      </c>
      <c r="G3" s="2" t="s">
        <v>207</v>
      </c>
      <c r="H3" s="2" t="s">
        <v>209</v>
      </c>
      <c r="I3" s="2" t="s">
        <v>212</v>
      </c>
      <c r="J3" s="2" t="s">
        <v>214</v>
      </c>
    </row>
    <row r="4" ht="169.5" customHeight="1">
      <c r="A4" s="5" t="s">
        <v>217</v>
      </c>
      <c r="B4" s="5" t="s">
        <v>218</v>
      </c>
      <c r="C4" s="5" t="s">
        <v>220</v>
      </c>
      <c r="D4" s="5" t="s">
        <v>221</v>
      </c>
      <c r="E4" s="5" t="s">
        <v>224</v>
      </c>
      <c r="F4" s="5" t="s">
        <v>226</v>
      </c>
      <c r="G4" s="5" t="s">
        <v>228</v>
      </c>
      <c r="H4" s="5" t="s">
        <v>229</v>
      </c>
      <c r="I4" s="5" t="s">
        <v>230</v>
      </c>
      <c r="J4" s="5" t="s">
        <v>232</v>
      </c>
    </row>
    <row r="5" ht="169.5" customHeight="1">
      <c r="A5" s="5" t="s">
        <v>234</v>
      </c>
      <c r="B5" s="5" t="s">
        <v>235</v>
      </c>
      <c r="C5" s="5" t="s">
        <v>236</v>
      </c>
      <c r="D5" s="5" t="s">
        <v>237</v>
      </c>
      <c r="E5" s="5" t="s">
        <v>239</v>
      </c>
      <c r="F5" s="5" t="s">
        <v>241</v>
      </c>
      <c r="G5" s="5" t="s">
        <v>244</v>
      </c>
      <c r="H5" s="5" t="s">
        <v>246</v>
      </c>
      <c r="I5" s="5" t="s">
        <v>248</v>
      </c>
      <c r="J5" s="5" t="s">
        <v>232</v>
      </c>
    </row>
    <row r="6" ht="169.5" customHeight="1">
      <c r="A6" s="5" t="s">
        <v>250</v>
      </c>
      <c r="B6" s="5" t="s">
        <v>252</v>
      </c>
      <c r="C6" s="5" t="s">
        <v>255</v>
      </c>
      <c r="D6" s="5" t="s">
        <v>257</v>
      </c>
      <c r="E6" s="5" t="s">
        <v>259</v>
      </c>
      <c r="F6" s="5" t="s">
        <v>262</v>
      </c>
      <c r="G6" s="5" t="s">
        <v>263</v>
      </c>
      <c r="H6" s="5" t="s">
        <v>265</v>
      </c>
      <c r="I6" s="5" t="s">
        <v>266</v>
      </c>
      <c r="J6" s="5" t="s">
        <v>232</v>
      </c>
    </row>
    <row r="7" ht="169.5" customHeight="1">
      <c r="A7" s="5" t="s">
        <v>268</v>
      </c>
      <c r="B7" s="5" t="s">
        <v>269</v>
      </c>
      <c r="C7" s="5" t="s">
        <v>270</v>
      </c>
      <c r="D7" s="5" t="s">
        <v>271</v>
      </c>
      <c r="E7" s="5" t="s">
        <v>273</v>
      </c>
      <c r="F7" s="5" t="s">
        <v>276</v>
      </c>
      <c r="G7" s="5" t="s">
        <v>277</v>
      </c>
      <c r="H7" s="5" t="s">
        <v>278</v>
      </c>
      <c r="I7" s="5" t="s">
        <v>279</v>
      </c>
      <c r="J7" s="5" t="s">
        <v>232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sheetPr>
  <sheetViews>
    <sheetView workbookViewId="0"/>
  </sheetViews>
  <sheetFormatPr customHeight="1" defaultColWidth="14.43" defaultRowHeight="15.0"/>
  <cols>
    <col customWidth="1" min="1" max="1" width="58.0"/>
    <col customWidth="1" min="2" max="2" width="16.0"/>
    <col customWidth="1" min="3" max="5" width="14.0"/>
    <col customWidth="1" min="6" max="6" width="22.0"/>
  </cols>
  <sheetData>
    <row r="1">
      <c r="A1" s="3" t="s">
        <v>476</v>
      </c>
    </row>
    <row r="3" ht="31.5" customHeight="1">
      <c r="A3" s="2" t="s">
        <v>479</v>
      </c>
      <c r="B3" s="2" t="s">
        <v>480</v>
      </c>
    </row>
    <row r="4">
      <c r="A4" s="5" t="s">
        <v>485</v>
      </c>
      <c r="B4" s="38">
        <f>COUNTIF('SoA ENS'!$M$2:$M$92,"SÍ*")+COUNTIF('SoA ENS'!$M$2:$M$92,"NO")</f>
        <v>73</v>
      </c>
    </row>
    <row r="5">
      <c r="A5" s="5" t="s">
        <v>514</v>
      </c>
      <c r="B5" s="38">
        <f>COUNTIF('SoA ENS'!$M$2:$M$92,"SÍ")</f>
        <v>68</v>
      </c>
    </row>
    <row r="6">
      <c r="A6" s="5" t="s">
        <v>528</v>
      </c>
      <c r="B6" s="38">
        <f>COUNTIF('SoA ENS'!$M$2:$M$92,"SÍ (compensada)")</f>
        <v>4</v>
      </c>
    </row>
    <row r="7">
      <c r="A7" s="5" t="s">
        <v>541</v>
      </c>
      <c r="B7" s="38">
        <f>COUNTIF('SoA ENS'!$M$2:$M$92,"NO")</f>
        <v>1</v>
      </c>
    </row>
    <row r="8">
      <c r="A8" s="5" t="s">
        <v>547</v>
      </c>
      <c r="B8" s="38">
        <f>COUNTIF('SoA ENS'!$R$2:$R$92,"Implantada")</f>
        <v>66</v>
      </c>
    </row>
    <row r="9">
      <c r="A9" s="5" t="s">
        <v>554</v>
      </c>
      <c r="B9" s="38">
        <f>COUNTIF('SoA ENS'!$R$2:$R$92,"Parcial*")</f>
        <v>6</v>
      </c>
    </row>
    <row r="10">
      <c r="A10" s="5" t="s">
        <v>568</v>
      </c>
      <c r="B10" s="38">
        <f>COUNTIF('SoA ENS'!$R$2:$R$92,"Planificada")+COUNTIF('SoA ENS'!$R$2:$R$92,"No implantada")</f>
        <v>0</v>
      </c>
    </row>
    <row r="11">
      <c r="A11" s="5" t="s">
        <v>582</v>
      </c>
      <c r="B11" s="39">
        <f>IFERROR(AVERAGEIF('SoA ENS'!$M$2:$M$92,"&lt;&gt;NO",'SoA ENS'!$S$2:$S$92),0)</f>
        <v>0.9888888889</v>
      </c>
    </row>
    <row r="12">
      <c r="A12" s="5" t="s">
        <v>614</v>
      </c>
      <c r="B12" s="38">
        <f>COUNTIF(Refuerzos!$G$2:$G$500,"Sí")</f>
        <v>78</v>
      </c>
    </row>
    <row r="13">
      <c r="A13" s="5" t="s">
        <v>628</v>
      </c>
      <c r="B13" s="38">
        <f>COUNTIF(Refuerzos!$G$2:$G$500,"Alternativa*")</f>
        <v>9</v>
      </c>
    </row>
    <row r="14">
      <c r="A14" s="5" t="s">
        <v>636</v>
      </c>
      <c r="B14" s="38">
        <f>COUNTA('Medidas compensatorias'!$A$4:$A$100)</f>
        <v>4</v>
      </c>
    </row>
    <row r="17" ht="31.5" customHeight="1">
      <c r="A17" s="2" t="s">
        <v>652</v>
      </c>
      <c r="B17" s="2" t="s">
        <v>654</v>
      </c>
      <c r="C17" s="2" t="s">
        <v>656</v>
      </c>
      <c r="D17" s="2" t="s">
        <v>659</v>
      </c>
      <c r="E17" s="2" t="s">
        <v>547</v>
      </c>
      <c r="F17" s="2" t="s">
        <v>661</v>
      </c>
    </row>
    <row r="18">
      <c r="A18" s="5" t="s">
        <v>106</v>
      </c>
      <c r="B18" s="38">
        <f>COUNTIF('SoA ENS'!$A$2:$A$92,A18)</f>
        <v>4</v>
      </c>
      <c r="C18" s="38">
        <f>COUNTIFS('SoA ENS'!$A$2:$A$92,A18,'SoA ENS'!$M$2:$M$92,"SÍ*")</f>
        <v>4</v>
      </c>
      <c r="D18" s="38">
        <f>COUNTIFS('SoA ENS'!$A$2:$A$92,A18,'SoA ENS'!$M$2:$M$92,"NO")</f>
        <v>0</v>
      </c>
      <c r="E18" s="38">
        <f>COUNTIFS('SoA ENS'!$A$2:$A$92,A18,'SoA ENS'!$R$2:$R$92,"Implantada")</f>
        <v>4</v>
      </c>
      <c r="F18" s="39">
        <f>IFERROR(AVERAGEIFS('SoA ENS'!$S$2:$S$92,'SoA ENS'!$A$2:$A$92,A18,'SoA ENS'!$M$2:$M$92,"&lt;&gt;NO"),0)</f>
        <v>1</v>
      </c>
    </row>
    <row r="19">
      <c r="A19" s="5" t="s">
        <v>208</v>
      </c>
      <c r="B19" s="38">
        <f>COUNTIF('SoA ENS'!$A$2:$A$92,A19)</f>
        <v>5</v>
      </c>
      <c r="C19" s="38">
        <f>COUNTIFS('SoA ENS'!$A$2:$A$92,A19,'SoA ENS'!$M$2:$M$92,"SÍ*")</f>
        <v>5</v>
      </c>
      <c r="D19" s="38">
        <f>COUNTIFS('SoA ENS'!$A$2:$A$92,A19,'SoA ENS'!$M$2:$M$92,"NO")</f>
        <v>0</v>
      </c>
      <c r="E19" s="38">
        <f>COUNTIFS('SoA ENS'!$A$2:$A$92,A19,'SoA ENS'!$R$2:$R$92,"Implantada")</f>
        <v>4</v>
      </c>
      <c r="F19" s="39">
        <f>IFERROR(AVERAGEIFS('SoA ENS'!$S$2:$S$92,'SoA ENS'!$A$2:$A$92,A19,'SoA ENS'!$M$2:$M$92,"&lt;&gt;NO"),0)</f>
        <v>0.97</v>
      </c>
    </row>
    <row r="20">
      <c r="A20" s="5" t="s">
        <v>256</v>
      </c>
      <c r="B20" s="38">
        <f>COUNTIF('SoA ENS'!$A$2:$A$92,A20)</f>
        <v>6</v>
      </c>
      <c r="C20" s="38">
        <f>COUNTIFS('SoA ENS'!$A$2:$A$92,A20,'SoA ENS'!$M$2:$M$92,"SÍ*")</f>
        <v>6</v>
      </c>
      <c r="D20" s="38">
        <f>COUNTIFS('SoA ENS'!$A$2:$A$92,A20,'SoA ENS'!$M$2:$M$92,"NO")</f>
        <v>0</v>
      </c>
      <c r="E20" s="38">
        <f>COUNTIFS('SoA ENS'!$A$2:$A$92,A20,'SoA ENS'!$R$2:$R$92,"Implantada")</f>
        <v>6</v>
      </c>
      <c r="F20" s="39">
        <f>IFERROR(AVERAGEIFS('SoA ENS'!$S$2:$S$92,'SoA ENS'!$A$2:$A$92,A20,'SoA ENS'!$M$2:$M$92,"&lt;&gt;NO"),0)</f>
        <v>1</v>
      </c>
    </row>
    <row r="21" ht="15.75" customHeight="1">
      <c r="A21" s="5" t="s">
        <v>340</v>
      </c>
      <c r="B21" s="38">
        <f>COUNTIF('SoA ENS'!$A$2:$A$92,A21)</f>
        <v>10</v>
      </c>
      <c r="C21" s="38">
        <f>COUNTIFS('SoA ENS'!$A$2:$A$92,A21,'SoA ENS'!$M$2:$M$92,"SÍ*")</f>
        <v>10</v>
      </c>
      <c r="D21" s="38">
        <f>COUNTIFS('SoA ENS'!$A$2:$A$92,A21,'SoA ENS'!$M$2:$M$92,"NO")</f>
        <v>0</v>
      </c>
      <c r="E21" s="38">
        <f>COUNTIFS('SoA ENS'!$A$2:$A$92,A21,'SoA ENS'!$R$2:$R$92,"Implantada")</f>
        <v>10</v>
      </c>
      <c r="F21" s="39">
        <f>IFERROR(AVERAGEIFS('SoA ENS'!$S$2:$S$92,'SoA ENS'!$A$2:$A$92,A21,'SoA ENS'!$M$2:$M$92,"&lt;&gt;NO"),0)</f>
        <v>1</v>
      </c>
    </row>
    <row r="22" ht="15.75" customHeight="1">
      <c r="A22" s="5" t="s">
        <v>381</v>
      </c>
      <c r="B22" s="38">
        <f>COUNTIF('SoA ENS'!$A$2:$A$92,A22)</f>
        <v>4</v>
      </c>
      <c r="C22" s="38">
        <f>COUNTIFS('SoA ENS'!$A$2:$A$92,A22,'SoA ENS'!$M$2:$M$92,"SÍ*")</f>
        <v>4</v>
      </c>
      <c r="D22" s="38">
        <f>COUNTIFS('SoA ENS'!$A$2:$A$92,A22,'SoA ENS'!$M$2:$M$92,"NO")</f>
        <v>0</v>
      </c>
      <c r="E22" s="38">
        <f>COUNTIFS('SoA ENS'!$A$2:$A$92,A22,'SoA ENS'!$R$2:$R$92,"Implantada")</f>
        <v>4</v>
      </c>
      <c r="F22" s="39">
        <f>IFERROR(AVERAGEIFS('SoA ENS'!$S$2:$S$92,'SoA ENS'!$A$2:$A$92,A22,'SoA ENS'!$M$2:$M$92,"&lt;&gt;NO"),0)</f>
        <v>1</v>
      </c>
    </row>
    <row r="23" ht="15.75" customHeight="1">
      <c r="A23" s="5" t="s">
        <v>945</v>
      </c>
      <c r="B23" s="38">
        <f>COUNTIF('SoA ENS'!$A$2:$A$92,A23)</f>
        <v>1</v>
      </c>
      <c r="C23" s="38">
        <f>COUNTIFS('SoA ENS'!$A$2:$A$92,A23,'SoA ENS'!$M$2:$M$92,"SÍ*")</f>
        <v>1</v>
      </c>
      <c r="D23" s="38">
        <f>COUNTIFS('SoA ENS'!$A$2:$A$92,A23,'SoA ENS'!$M$2:$M$92,"NO")</f>
        <v>0</v>
      </c>
      <c r="E23" s="38">
        <f>COUNTIFS('SoA ENS'!$A$2:$A$92,A23,'SoA ENS'!$R$2:$R$92,"Implantada")</f>
        <v>1</v>
      </c>
      <c r="F23" s="39">
        <f>IFERROR(AVERAGEIFS('SoA ENS'!$S$2:$S$92,'SoA ENS'!$A$2:$A$92,A23,'SoA ENS'!$M$2:$M$92,"&lt;&gt;NO"),0)</f>
        <v>1</v>
      </c>
    </row>
    <row r="24" ht="15.75" customHeight="1">
      <c r="A24" s="5" t="s">
        <v>412</v>
      </c>
      <c r="B24" s="38">
        <f>COUNTIF('SoA ENS'!$A$2:$A$92,A24)</f>
        <v>4</v>
      </c>
      <c r="C24" s="38">
        <f>COUNTIFS('SoA ENS'!$A$2:$A$92,A24,'SoA ENS'!$M$2:$M$92,"SÍ*")</f>
        <v>4</v>
      </c>
      <c r="D24" s="38">
        <f>COUNTIFS('SoA ENS'!$A$2:$A$92,A24,'SoA ENS'!$M$2:$M$92,"NO")</f>
        <v>0</v>
      </c>
      <c r="E24" s="38">
        <f>COUNTIFS('SoA ENS'!$A$2:$A$92,A24,'SoA ENS'!$R$2:$R$92,"Implantada")</f>
        <v>4</v>
      </c>
      <c r="F24" s="39">
        <f>IFERROR(AVERAGEIFS('SoA ENS'!$S$2:$S$92,'SoA ENS'!$A$2:$A$92,A24,'SoA ENS'!$M$2:$M$92,"&lt;&gt;NO"),0)</f>
        <v>1</v>
      </c>
    </row>
    <row r="25" ht="15.75" customHeight="1">
      <c r="A25" s="5" t="s">
        <v>984</v>
      </c>
      <c r="B25" s="38">
        <f>COUNTIF('SoA ENS'!$A$2:$A$92,A25)</f>
        <v>3</v>
      </c>
      <c r="C25" s="38">
        <f>COUNTIFS('SoA ENS'!$A$2:$A$92,A25,'SoA ENS'!$M$2:$M$92,"SÍ*")</f>
        <v>3</v>
      </c>
      <c r="D25" s="38">
        <f>COUNTIFS('SoA ENS'!$A$2:$A$92,A25,'SoA ENS'!$M$2:$M$92,"NO")</f>
        <v>0</v>
      </c>
      <c r="E25" s="38">
        <f>COUNTIFS('SoA ENS'!$A$2:$A$92,A25,'SoA ENS'!$R$2:$R$92,"Implantada")</f>
        <v>2</v>
      </c>
      <c r="F25" s="39">
        <f>IFERROR(AVERAGEIFS('SoA ENS'!$S$2:$S$92,'SoA ENS'!$A$2:$A$92,A25,'SoA ENS'!$M$2:$M$92,"&lt;&gt;NO"),0)</f>
        <v>0.9333333333</v>
      </c>
    </row>
    <row r="26" ht="15.75" customHeight="1">
      <c r="A26" s="5" t="s">
        <v>470</v>
      </c>
      <c r="B26" s="38">
        <f>COUNTIF('SoA ENS'!$A$2:$A$92,A26)</f>
        <v>7</v>
      </c>
      <c r="C26" s="38">
        <f>COUNTIFS('SoA ENS'!$A$2:$A$92,A26,'SoA ENS'!$M$2:$M$92,"SÍ*")</f>
        <v>7</v>
      </c>
      <c r="D26" s="38">
        <f>COUNTIFS('SoA ENS'!$A$2:$A$92,A26,'SoA ENS'!$M$2:$M$92,"NO")</f>
        <v>0</v>
      </c>
      <c r="E26" s="38">
        <f>COUNTIFS('SoA ENS'!$A$2:$A$92,A26,'SoA ENS'!$R$2:$R$92,"Implantada")</f>
        <v>6</v>
      </c>
      <c r="F26" s="39">
        <f>IFERROR(AVERAGEIFS('SoA ENS'!$S$2:$S$92,'SoA ENS'!$A$2:$A$92,A26,'SoA ENS'!$M$2:$M$92,"&lt;&gt;NO"),0)</f>
        <v>0.9857142857</v>
      </c>
    </row>
    <row r="27" ht="15.75" customHeight="1">
      <c r="A27" s="5" t="s">
        <v>588</v>
      </c>
      <c r="B27" s="38">
        <f>COUNTIF('SoA ENS'!$A$2:$A$92,A27)</f>
        <v>4</v>
      </c>
      <c r="C27" s="38">
        <f>COUNTIFS('SoA ENS'!$A$2:$A$92,A27,'SoA ENS'!$M$2:$M$92,"SÍ*")</f>
        <v>4</v>
      </c>
      <c r="D27" s="38">
        <f>COUNTIFS('SoA ENS'!$A$2:$A$92,A27,'SoA ENS'!$M$2:$M$92,"NO")</f>
        <v>0</v>
      </c>
      <c r="E27" s="38">
        <f>COUNTIFS('SoA ENS'!$A$2:$A$92,A27,'SoA ENS'!$R$2:$R$92,"Implantada")</f>
        <v>4</v>
      </c>
      <c r="F27" s="39">
        <f>IFERROR(AVERAGEIFS('SoA ENS'!$S$2:$S$92,'SoA ENS'!$A$2:$A$92,A27,'SoA ENS'!$M$2:$M$92,"&lt;&gt;NO"),0)</f>
        <v>1</v>
      </c>
    </row>
    <row r="28" ht="15.75" customHeight="1">
      <c r="A28" s="5" t="s">
        <v>883</v>
      </c>
      <c r="B28" s="38">
        <f>COUNTIF('SoA ENS'!$A$2:$A$92,A28)</f>
        <v>4</v>
      </c>
      <c r="C28" s="38">
        <f>COUNTIFS('SoA ENS'!$A$2:$A$92,A28,'SoA ENS'!$M$2:$M$92,"SÍ*")</f>
        <v>4</v>
      </c>
      <c r="D28" s="38">
        <f>COUNTIFS('SoA ENS'!$A$2:$A$92,A28,'SoA ENS'!$M$2:$M$92,"NO")</f>
        <v>0</v>
      </c>
      <c r="E28" s="38">
        <f>COUNTIFS('SoA ENS'!$A$2:$A$92,A28,'SoA ENS'!$R$2:$R$92,"Implantada")</f>
        <v>4</v>
      </c>
      <c r="F28" s="39">
        <f>IFERROR(AVERAGEIFS('SoA ENS'!$S$2:$S$92,'SoA ENS'!$A$2:$A$92,A28,'SoA ENS'!$M$2:$M$92,"&lt;&gt;NO"),0)</f>
        <v>1</v>
      </c>
    </row>
    <row r="29" ht="15.75" customHeight="1">
      <c r="A29" s="5" t="s">
        <v>677</v>
      </c>
      <c r="B29" s="38">
        <f>COUNTIF('SoA ENS'!$A$2:$A$92,A29)</f>
        <v>4</v>
      </c>
      <c r="C29" s="38">
        <f>COUNTIFS('SoA ENS'!$A$2:$A$92,A29,'SoA ENS'!$M$2:$M$92,"SÍ*")</f>
        <v>4</v>
      </c>
      <c r="D29" s="38">
        <f>COUNTIFS('SoA ENS'!$A$2:$A$92,A29,'SoA ENS'!$M$2:$M$92,"NO")</f>
        <v>0</v>
      </c>
      <c r="E29" s="38">
        <f>COUNTIFS('SoA ENS'!$A$2:$A$92,A29,'SoA ENS'!$R$2:$R$92,"Implantada")</f>
        <v>3</v>
      </c>
      <c r="F29" s="39">
        <f>IFERROR(AVERAGEIFS('SoA ENS'!$S$2:$S$92,'SoA ENS'!$A$2:$A$92,A29,'SoA ENS'!$M$2:$M$92,"&lt;&gt;NO"),0)</f>
        <v>0.975</v>
      </c>
    </row>
    <row r="30" ht="15.75" customHeight="1">
      <c r="A30" s="5" t="s">
        <v>703</v>
      </c>
      <c r="B30" s="38">
        <f>COUNTIF('SoA ENS'!$A$2:$A$92,A30)</f>
        <v>5</v>
      </c>
      <c r="C30" s="38">
        <f>COUNTIFS('SoA ENS'!$A$2:$A$92,A30,'SoA ENS'!$M$2:$M$92,"SÍ*")</f>
        <v>5</v>
      </c>
      <c r="D30" s="38">
        <f>COUNTIFS('SoA ENS'!$A$2:$A$92,A30,'SoA ENS'!$M$2:$M$92,"NO")</f>
        <v>0</v>
      </c>
      <c r="E30" s="38">
        <f>COUNTIFS('SoA ENS'!$A$2:$A$92,A30,'SoA ENS'!$R$2:$R$92,"Implantada")</f>
        <v>4</v>
      </c>
      <c r="F30" s="39">
        <f>IFERROR(AVERAGEIFS('SoA ENS'!$S$2:$S$92,'SoA ENS'!$A$2:$A$92,A30,'SoA ENS'!$M$2:$M$92,"&lt;&gt;NO"),0)</f>
        <v>0.98</v>
      </c>
    </row>
    <row r="31" ht="15.75" customHeight="1">
      <c r="A31" s="5" t="s">
        <v>1044</v>
      </c>
      <c r="B31" s="38">
        <f>COUNTIF('SoA ENS'!$A$2:$A$92,A31)</f>
        <v>2</v>
      </c>
      <c r="C31" s="38">
        <f>COUNTIFS('SoA ENS'!$A$2:$A$92,A31,'SoA ENS'!$M$2:$M$92,"SÍ*")</f>
        <v>2</v>
      </c>
      <c r="D31" s="38">
        <f>COUNTIFS('SoA ENS'!$A$2:$A$92,A31,'SoA ENS'!$M$2:$M$92,"NO")</f>
        <v>0</v>
      </c>
      <c r="E31" s="38">
        <f>COUNTIFS('SoA ENS'!$A$2:$A$92,A31,'SoA ENS'!$R$2:$R$92,"Implantada")</f>
        <v>1</v>
      </c>
      <c r="F31" s="39">
        <f>IFERROR(AVERAGEIFS('SoA ENS'!$S$2:$S$92,'SoA ENS'!$A$2:$A$92,A31,'SoA ENS'!$M$2:$M$92,"&lt;&gt;NO"),0)</f>
        <v>0.925</v>
      </c>
    </row>
    <row r="32" ht="15.75" customHeight="1">
      <c r="A32" s="5" t="s">
        <v>749</v>
      </c>
      <c r="B32" s="38">
        <f>COUNTIF('SoA ENS'!$A$2:$A$92,A32)</f>
        <v>6</v>
      </c>
      <c r="C32" s="38">
        <f>COUNTIFS('SoA ENS'!$A$2:$A$92,A32,'SoA ENS'!$M$2:$M$92,"SÍ*")</f>
        <v>5</v>
      </c>
      <c r="D32" s="38">
        <f>COUNTIFS('SoA ENS'!$A$2:$A$92,A32,'SoA ENS'!$M$2:$M$92,"NO")</f>
        <v>1</v>
      </c>
      <c r="E32" s="38">
        <f>COUNTIFS('SoA ENS'!$A$2:$A$92,A32,'SoA ENS'!$R$2:$R$92,"Implantada")</f>
        <v>5</v>
      </c>
      <c r="F32" s="39">
        <f>IFERROR(AVERAGEIFS('SoA ENS'!$S$2:$S$92,'SoA ENS'!$A$2:$A$92,A32,'SoA ENS'!$M$2:$M$92,"&lt;&gt;NO"),0)</f>
        <v>1</v>
      </c>
    </row>
    <row r="33" ht="15.75" customHeight="1">
      <c r="A33" s="5" t="s">
        <v>779</v>
      </c>
      <c r="B33" s="38">
        <f>COUNTIF('SoA ENS'!$A$2:$A$92,A33)</f>
        <v>4</v>
      </c>
      <c r="C33" s="38">
        <f>COUNTIFS('SoA ENS'!$A$2:$A$92,A33,'SoA ENS'!$M$2:$M$92,"SÍ*")</f>
        <v>4</v>
      </c>
      <c r="D33" s="38">
        <f>COUNTIFS('SoA ENS'!$A$2:$A$92,A33,'SoA ENS'!$M$2:$M$92,"NO")</f>
        <v>0</v>
      </c>
      <c r="E33" s="38">
        <f>COUNTIFS('SoA ENS'!$A$2:$A$92,A33,'SoA ENS'!$R$2:$R$92,"Implantada")</f>
        <v>4</v>
      </c>
      <c r="F33" s="39">
        <f>IFERROR(AVERAGEIFS('SoA ENS'!$S$2:$S$92,'SoA ENS'!$A$2:$A$92,A33,'SoA ENS'!$M$2:$M$92,"&lt;&gt;NO"),0)</f>
        <v>1</v>
      </c>
    </row>
    <row r="34" ht="15.75" customHeight="1">
      <c r="A34" s="9" t="s">
        <v>1070</v>
      </c>
      <c r="B34" s="9">
        <f t="shared" ref="B34:E34" si="1">SUM(B18:B33)</f>
        <v>73</v>
      </c>
      <c r="C34" s="9">
        <f t="shared" si="1"/>
        <v>72</v>
      </c>
      <c r="D34" s="9">
        <f t="shared" si="1"/>
        <v>1</v>
      </c>
      <c r="E34" s="9">
        <f t="shared" si="1"/>
        <v>66</v>
      </c>
      <c r="F34" s="9"/>
    </row>
    <row r="35" ht="15.75" customHeight="1"/>
    <row r="36" ht="39.75" customHeight="1">
      <c r="A36" s="7" t="s">
        <v>1077</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6:F36"/>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0.0"/>
    <col customWidth="1" min="2" max="2" width="28.0"/>
    <col customWidth="1" min="3" max="3" width="12.0"/>
    <col customWidth="1" min="4" max="4" width="9.0"/>
    <col customWidth="1" min="5" max="5" width="12.0"/>
    <col customWidth="1" min="6" max="6" width="16.0"/>
    <col customWidth="1" min="7" max="8" width="100.0"/>
  </cols>
  <sheetData>
    <row r="1" ht="31.5" customHeight="1">
      <c r="A1" s="2" t="s">
        <v>29</v>
      </c>
      <c r="B1" s="2" t="s">
        <v>197</v>
      </c>
      <c r="C1" s="2" t="s">
        <v>515</v>
      </c>
      <c r="D1" s="2" t="s">
        <v>517</v>
      </c>
      <c r="E1" s="2" t="s">
        <v>518</v>
      </c>
      <c r="F1" s="2" t="s">
        <v>519</v>
      </c>
      <c r="G1" s="2" t="s">
        <v>521</v>
      </c>
      <c r="H1" s="2" t="s">
        <v>522</v>
      </c>
    </row>
    <row r="2" ht="111.75" customHeight="1">
      <c r="A2" s="5" t="s">
        <v>525</v>
      </c>
      <c r="B2" s="5" t="s">
        <v>527</v>
      </c>
      <c r="C2" s="5" t="s">
        <v>128</v>
      </c>
      <c r="D2" s="5" t="s">
        <v>131</v>
      </c>
      <c r="E2" s="5" t="s">
        <v>131</v>
      </c>
      <c r="F2" s="5" t="s">
        <v>131</v>
      </c>
      <c r="G2" s="5" t="s">
        <v>534</v>
      </c>
      <c r="H2" s="5"/>
    </row>
    <row r="3" ht="60.0" customHeight="1">
      <c r="A3" s="5" t="s">
        <v>117</v>
      </c>
      <c r="B3" s="5" t="s">
        <v>126</v>
      </c>
      <c r="C3" s="5" t="s">
        <v>128</v>
      </c>
      <c r="D3" s="5" t="s">
        <v>131</v>
      </c>
      <c r="E3" s="5" t="s">
        <v>131</v>
      </c>
      <c r="F3" s="5" t="s">
        <v>131</v>
      </c>
      <c r="G3" s="5" t="s">
        <v>544</v>
      </c>
      <c r="H3" s="5"/>
    </row>
    <row r="4" ht="84.0" customHeight="1">
      <c r="A4" s="5" t="s">
        <v>176</v>
      </c>
      <c r="B4" s="5" t="s">
        <v>177</v>
      </c>
      <c r="C4" s="5" t="s">
        <v>128</v>
      </c>
      <c r="D4" s="5" t="s">
        <v>131</v>
      </c>
      <c r="E4" s="5" t="s">
        <v>131</v>
      </c>
      <c r="F4" s="5" t="s">
        <v>131</v>
      </c>
      <c r="G4" s="5" t="s">
        <v>549</v>
      </c>
      <c r="H4" s="5"/>
    </row>
    <row r="5" ht="111.75" customHeight="1">
      <c r="A5" s="5" t="s">
        <v>189</v>
      </c>
      <c r="B5" s="5" t="s">
        <v>190</v>
      </c>
      <c r="C5" s="5" t="s">
        <v>128</v>
      </c>
      <c r="D5" s="5" t="s">
        <v>131</v>
      </c>
      <c r="E5" s="5" t="s">
        <v>131</v>
      </c>
      <c r="F5" s="5" t="s">
        <v>131</v>
      </c>
      <c r="G5" s="5" t="s">
        <v>556</v>
      </c>
      <c r="H5" s="5"/>
    </row>
    <row r="6" ht="60.0" customHeight="1">
      <c r="A6" s="5" t="s">
        <v>219</v>
      </c>
      <c r="B6" s="5" t="s">
        <v>222</v>
      </c>
      <c r="C6" s="5" t="s">
        <v>128</v>
      </c>
      <c r="D6" s="5" t="s">
        <v>131</v>
      </c>
      <c r="E6" s="5" t="s">
        <v>275</v>
      </c>
      <c r="F6" s="5" t="s">
        <v>567</v>
      </c>
      <c r="G6" s="5" t="s">
        <v>569</v>
      </c>
      <c r="H6" s="5" t="s">
        <v>572</v>
      </c>
    </row>
    <row r="7" ht="139.5" customHeight="1">
      <c r="A7" s="5" t="s">
        <v>272</v>
      </c>
      <c r="B7" s="5" t="s">
        <v>274</v>
      </c>
      <c r="C7" s="5" t="s">
        <v>128</v>
      </c>
      <c r="D7" s="5" t="s">
        <v>131</v>
      </c>
      <c r="E7" s="5" t="s">
        <v>275</v>
      </c>
      <c r="F7" s="5" t="s">
        <v>574</v>
      </c>
      <c r="G7" s="5" t="s">
        <v>576</v>
      </c>
      <c r="H7" s="5" t="s">
        <v>577</v>
      </c>
    </row>
    <row r="8" ht="60.0" customHeight="1">
      <c r="A8" s="5" t="s">
        <v>210</v>
      </c>
      <c r="B8" s="5" t="s">
        <v>213</v>
      </c>
      <c r="C8" s="5" t="s">
        <v>128</v>
      </c>
      <c r="D8" s="5" t="s">
        <v>131</v>
      </c>
      <c r="E8" s="5" t="s">
        <v>131</v>
      </c>
      <c r="F8" s="5" t="s">
        <v>131</v>
      </c>
      <c r="G8" s="5" t="s">
        <v>583</v>
      </c>
      <c r="H8" s="5"/>
    </row>
    <row r="9" ht="69.75" customHeight="1">
      <c r="A9" s="5" t="s">
        <v>289</v>
      </c>
      <c r="B9" s="5" t="s">
        <v>290</v>
      </c>
      <c r="C9" s="5" t="s">
        <v>77</v>
      </c>
      <c r="D9" s="5" t="s">
        <v>131</v>
      </c>
      <c r="E9" s="5" t="s">
        <v>275</v>
      </c>
      <c r="F9" s="5" t="s">
        <v>275</v>
      </c>
      <c r="G9" s="5" t="s">
        <v>591</v>
      </c>
      <c r="H9" s="5" t="s">
        <v>292</v>
      </c>
    </row>
    <row r="10" ht="139.5" customHeight="1">
      <c r="A10" s="5" t="s">
        <v>593</v>
      </c>
      <c r="B10" s="5" t="s">
        <v>594</v>
      </c>
      <c r="C10" s="5" t="s">
        <v>128</v>
      </c>
      <c r="D10" s="5" t="s">
        <v>264</v>
      </c>
      <c r="E10" s="5" t="s">
        <v>131</v>
      </c>
      <c r="F10" s="5" t="s">
        <v>131</v>
      </c>
      <c r="G10" s="5" t="s">
        <v>598</v>
      </c>
      <c r="H10" s="5"/>
    </row>
    <row r="11" ht="391.5" customHeight="1">
      <c r="A11" s="5" t="s">
        <v>294</v>
      </c>
      <c r="B11" s="5" t="s">
        <v>295</v>
      </c>
      <c r="C11" s="5" t="s">
        <v>600</v>
      </c>
      <c r="D11" s="5" t="s">
        <v>131</v>
      </c>
      <c r="E11" s="5" t="s">
        <v>275</v>
      </c>
      <c r="F11" s="5" t="s">
        <v>275</v>
      </c>
      <c r="G11" s="5" t="s">
        <v>609</v>
      </c>
      <c r="H11" s="5" t="s">
        <v>298</v>
      </c>
    </row>
    <row r="12" ht="69.75" customHeight="1">
      <c r="A12" s="5" t="s">
        <v>300</v>
      </c>
      <c r="B12" s="5" t="s">
        <v>302</v>
      </c>
      <c r="C12" s="5" t="s">
        <v>261</v>
      </c>
      <c r="D12" s="5" t="s">
        <v>131</v>
      </c>
      <c r="E12" s="5" t="s">
        <v>131</v>
      </c>
      <c r="F12" s="5" t="s">
        <v>275</v>
      </c>
      <c r="G12" s="5" t="s">
        <v>621</v>
      </c>
      <c r="H12" s="5" t="s">
        <v>305</v>
      </c>
    </row>
    <row r="13" ht="69.75" customHeight="1">
      <c r="A13" s="5" t="s">
        <v>258</v>
      </c>
      <c r="B13" s="5" t="s">
        <v>260</v>
      </c>
      <c r="C13" s="5" t="s">
        <v>261</v>
      </c>
      <c r="D13" s="5" t="s">
        <v>264</v>
      </c>
      <c r="E13" s="5" t="s">
        <v>131</v>
      </c>
      <c r="F13" s="5" t="s">
        <v>275</v>
      </c>
      <c r="G13" s="5" t="s">
        <v>627</v>
      </c>
      <c r="H13" s="5" t="s">
        <v>311</v>
      </c>
    </row>
    <row r="14" ht="153.75" customHeight="1">
      <c r="A14" s="5" t="s">
        <v>318</v>
      </c>
      <c r="B14" s="5" t="s">
        <v>319</v>
      </c>
      <c r="C14" s="5" t="s">
        <v>261</v>
      </c>
      <c r="D14" s="5" t="s">
        <v>131</v>
      </c>
      <c r="E14" s="5" t="s">
        <v>131</v>
      </c>
      <c r="F14" s="5" t="s">
        <v>131</v>
      </c>
      <c r="G14" s="5" t="s">
        <v>631</v>
      </c>
      <c r="H14" s="5"/>
    </row>
    <row r="15" ht="279.75" customHeight="1">
      <c r="A15" s="5" t="s">
        <v>313</v>
      </c>
      <c r="B15" s="5" t="s">
        <v>315</v>
      </c>
      <c r="C15" s="5" t="s">
        <v>261</v>
      </c>
      <c r="D15" s="5" t="s">
        <v>634</v>
      </c>
      <c r="E15" s="5" t="s">
        <v>637</v>
      </c>
      <c r="F15" s="5" t="s">
        <v>637</v>
      </c>
      <c r="G15" s="5" t="s">
        <v>646</v>
      </c>
      <c r="H15" s="5" t="s">
        <v>651</v>
      </c>
    </row>
    <row r="16" ht="307.5" customHeight="1">
      <c r="A16" s="5" t="s">
        <v>337</v>
      </c>
      <c r="B16" s="5" t="s">
        <v>339</v>
      </c>
      <c r="C16" s="5" t="s">
        <v>261</v>
      </c>
      <c r="D16" s="5" t="s">
        <v>655</v>
      </c>
      <c r="E16" s="5" t="s">
        <v>657</v>
      </c>
      <c r="F16" s="5" t="s">
        <v>658</v>
      </c>
      <c r="G16" s="5" t="s">
        <v>663</v>
      </c>
      <c r="H16" s="5" t="s">
        <v>670</v>
      </c>
    </row>
    <row r="17" ht="60.0" customHeight="1">
      <c r="A17" s="5" t="s">
        <v>341</v>
      </c>
      <c r="B17" s="5" t="s">
        <v>342</v>
      </c>
      <c r="C17" s="5" t="s">
        <v>128</v>
      </c>
      <c r="D17" s="5" t="s">
        <v>131</v>
      </c>
      <c r="E17" s="5" t="s">
        <v>131</v>
      </c>
      <c r="F17" s="5" t="s">
        <v>131</v>
      </c>
      <c r="G17" s="5" t="s">
        <v>675</v>
      </c>
      <c r="H17" s="5"/>
    </row>
    <row r="18" ht="168.0" customHeight="1">
      <c r="A18" s="5" t="s">
        <v>354</v>
      </c>
      <c r="B18" s="5" t="s">
        <v>355</v>
      </c>
      <c r="C18" s="5" t="s">
        <v>128</v>
      </c>
      <c r="D18" s="5" t="s">
        <v>131</v>
      </c>
      <c r="E18" s="5" t="s">
        <v>131</v>
      </c>
      <c r="F18" s="5" t="s">
        <v>131</v>
      </c>
      <c r="G18" s="5" t="s">
        <v>681</v>
      </c>
      <c r="H18" s="5"/>
    </row>
    <row r="19" ht="84.0" customHeight="1">
      <c r="A19" s="5" t="s">
        <v>403</v>
      </c>
      <c r="B19" s="5" t="s">
        <v>405</v>
      </c>
      <c r="C19" s="5" t="s">
        <v>128</v>
      </c>
      <c r="D19" s="5" t="s">
        <v>131</v>
      </c>
      <c r="E19" s="5" t="s">
        <v>275</v>
      </c>
      <c r="F19" s="5" t="s">
        <v>574</v>
      </c>
      <c r="G19" s="5" t="s">
        <v>683</v>
      </c>
      <c r="H19" s="5" t="s">
        <v>685</v>
      </c>
    </row>
    <row r="20" ht="97.5" customHeight="1">
      <c r="A20" s="5" t="s">
        <v>419</v>
      </c>
      <c r="B20" s="5" t="s">
        <v>420</v>
      </c>
      <c r="C20" s="5" t="s">
        <v>128</v>
      </c>
      <c r="D20" s="5" t="s">
        <v>131</v>
      </c>
      <c r="E20" s="5" t="s">
        <v>275</v>
      </c>
      <c r="F20" s="5" t="s">
        <v>689</v>
      </c>
      <c r="G20" s="5" t="s">
        <v>690</v>
      </c>
      <c r="H20" s="5" t="s">
        <v>693</v>
      </c>
    </row>
    <row r="21" ht="168.0" customHeight="1">
      <c r="A21" s="5" t="s">
        <v>365</v>
      </c>
      <c r="B21" s="5" t="s">
        <v>366</v>
      </c>
      <c r="C21" s="5" t="s">
        <v>128</v>
      </c>
      <c r="D21" s="5" t="s">
        <v>264</v>
      </c>
      <c r="E21" s="5" t="s">
        <v>131</v>
      </c>
      <c r="F21" s="5" t="s">
        <v>275</v>
      </c>
      <c r="G21" s="5" t="s">
        <v>700</v>
      </c>
      <c r="H21" s="5" t="s">
        <v>433</v>
      </c>
    </row>
    <row r="22" ht="111.75" customHeight="1">
      <c r="A22" s="5" t="s">
        <v>435</v>
      </c>
      <c r="B22" s="5" t="s">
        <v>437</v>
      </c>
      <c r="C22" s="5" t="s">
        <v>128</v>
      </c>
      <c r="D22" s="5" t="s">
        <v>131</v>
      </c>
      <c r="E22" s="5" t="s">
        <v>689</v>
      </c>
      <c r="F22" s="5" t="s">
        <v>707</v>
      </c>
      <c r="G22" s="5" t="s">
        <v>709</v>
      </c>
      <c r="H22" s="5" t="s">
        <v>710</v>
      </c>
    </row>
    <row r="23" ht="84.0" customHeight="1">
      <c r="A23" s="5" t="s">
        <v>454</v>
      </c>
      <c r="B23" s="5" t="s">
        <v>455</v>
      </c>
      <c r="C23" s="5" t="s">
        <v>128</v>
      </c>
      <c r="D23" s="5" t="s">
        <v>131</v>
      </c>
      <c r="E23" s="5" t="s">
        <v>689</v>
      </c>
      <c r="F23" s="5" t="s">
        <v>574</v>
      </c>
      <c r="G23" s="5" t="s">
        <v>714</v>
      </c>
      <c r="H23" s="5" t="s">
        <v>717</v>
      </c>
    </row>
    <row r="24" ht="69.75" customHeight="1">
      <c r="A24" s="5" t="s">
        <v>466</v>
      </c>
      <c r="B24" s="5" t="s">
        <v>468</v>
      </c>
      <c r="C24" s="5" t="s">
        <v>82</v>
      </c>
      <c r="D24" s="5" t="s">
        <v>131</v>
      </c>
      <c r="E24" s="5" t="s">
        <v>707</v>
      </c>
      <c r="F24" s="5" t="s">
        <v>719</v>
      </c>
      <c r="G24" s="5" t="s">
        <v>721</v>
      </c>
      <c r="H24" s="5" t="s">
        <v>728</v>
      </c>
    </row>
    <row r="25" ht="111.75" customHeight="1">
      <c r="A25" s="5" t="s">
        <v>373</v>
      </c>
      <c r="B25" s="5" t="s">
        <v>374</v>
      </c>
      <c r="C25" s="5" t="s">
        <v>128</v>
      </c>
      <c r="D25" s="5" t="s">
        <v>131</v>
      </c>
      <c r="E25" s="5" t="s">
        <v>131</v>
      </c>
      <c r="F25" s="5" t="s">
        <v>131</v>
      </c>
      <c r="G25" s="5" t="s">
        <v>734</v>
      </c>
      <c r="H25" s="5"/>
    </row>
    <row r="26" ht="69.75" customHeight="1">
      <c r="A26" s="5" t="s">
        <v>495</v>
      </c>
      <c r="B26" s="5" t="s">
        <v>496</v>
      </c>
      <c r="C26" s="5" t="s">
        <v>128</v>
      </c>
      <c r="D26" s="5" t="s">
        <v>131</v>
      </c>
      <c r="E26" s="5" t="s">
        <v>275</v>
      </c>
      <c r="F26" s="5" t="s">
        <v>275</v>
      </c>
      <c r="G26" s="5" t="s">
        <v>738</v>
      </c>
      <c r="H26" s="5" t="s">
        <v>498</v>
      </c>
    </row>
    <row r="27" ht="60.0" customHeight="1">
      <c r="A27" s="5" t="s">
        <v>382</v>
      </c>
      <c r="B27" s="5" t="s">
        <v>383</v>
      </c>
      <c r="C27" s="5" t="s">
        <v>128</v>
      </c>
      <c r="D27" s="5" t="s">
        <v>264</v>
      </c>
      <c r="E27" s="5" t="s">
        <v>131</v>
      </c>
      <c r="F27" s="5" t="s">
        <v>131</v>
      </c>
      <c r="G27" s="5" t="s">
        <v>740</v>
      </c>
      <c r="H27" s="5"/>
    </row>
    <row r="28" ht="69.75" customHeight="1">
      <c r="A28" s="5" t="s">
        <v>393</v>
      </c>
      <c r="B28" s="5" t="s">
        <v>394</v>
      </c>
      <c r="C28" s="5" t="s">
        <v>128</v>
      </c>
      <c r="D28" s="5" t="s">
        <v>264</v>
      </c>
      <c r="E28" s="5" t="s">
        <v>131</v>
      </c>
      <c r="F28" s="5" t="s">
        <v>131</v>
      </c>
      <c r="G28" s="5" t="s">
        <v>748</v>
      </c>
      <c r="H28" s="5"/>
    </row>
    <row r="29" ht="60.0" customHeight="1">
      <c r="A29" s="5" t="s">
        <v>751</v>
      </c>
      <c r="B29" s="5" t="s">
        <v>753</v>
      </c>
      <c r="C29" s="5" t="s">
        <v>128</v>
      </c>
      <c r="D29" s="5" t="s">
        <v>264</v>
      </c>
      <c r="E29" s="5" t="s">
        <v>264</v>
      </c>
      <c r="F29" s="5" t="s">
        <v>131</v>
      </c>
      <c r="G29" s="5" t="s">
        <v>756</v>
      </c>
      <c r="H29" s="5"/>
    </row>
    <row r="30" ht="84.0" customHeight="1">
      <c r="A30" s="5" t="s">
        <v>501</v>
      </c>
      <c r="B30" s="5" t="s">
        <v>503</v>
      </c>
      <c r="C30" s="5" t="s">
        <v>128</v>
      </c>
      <c r="D30" s="5" t="s">
        <v>264</v>
      </c>
      <c r="E30" s="5" t="s">
        <v>131</v>
      </c>
      <c r="F30" s="5" t="s">
        <v>275</v>
      </c>
      <c r="G30" s="5" t="s">
        <v>764</v>
      </c>
      <c r="H30" s="5" t="s">
        <v>508</v>
      </c>
    </row>
    <row r="31" ht="111.75" customHeight="1">
      <c r="A31" s="5" t="s">
        <v>511</v>
      </c>
      <c r="B31" s="5" t="s">
        <v>512</v>
      </c>
      <c r="C31" s="5" t="s">
        <v>128</v>
      </c>
      <c r="D31" s="5" t="s">
        <v>131</v>
      </c>
      <c r="E31" s="5" t="s">
        <v>275</v>
      </c>
      <c r="F31" s="5" t="s">
        <v>689</v>
      </c>
      <c r="G31" s="5" t="s">
        <v>770</v>
      </c>
      <c r="H31" s="5" t="s">
        <v>772</v>
      </c>
    </row>
    <row r="32" ht="60.0" customHeight="1">
      <c r="A32" s="5" t="s">
        <v>774</v>
      </c>
      <c r="B32" s="5" t="s">
        <v>776</v>
      </c>
      <c r="C32" s="5" t="s">
        <v>77</v>
      </c>
      <c r="D32" s="5" t="s">
        <v>264</v>
      </c>
      <c r="E32" s="5" t="s">
        <v>131</v>
      </c>
      <c r="F32" s="5" t="s">
        <v>131</v>
      </c>
      <c r="G32" s="5" t="s">
        <v>782</v>
      </c>
      <c r="H32" s="5"/>
    </row>
    <row r="33" ht="126.0" customHeight="1">
      <c r="A33" s="5" t="s">
        <v>413</v>
      </c>
      <c r="B33" s="5" t="s">
        <v>414</v>
      </c>
      <c r="C33" s="5" t="s">
        <v>77</v>
      </c>
      <c r="D33" s="5" t="s">
        <v>264</v>
      </c>
      <c r="E33" s="5" t="s">
        <v>264</v>
      </c>
      <c r="F33" s="5" t="s">
        <v>131</v>
      </c>
      <c r="G33" s="5" t="s">
        <v>785</v>
      </c>
      <c r="H33" s="5"/>
    </row>
    <row r="34" ht="60.0" customHeight="1">
      <c r="A34" s="5" t="s">
        <v>434</v>
      </c>
      <c r="B34" s="5" t="s">
        <v>436</v>
      </c>
      <c r="C34" s="5" t="s">
        <v>77</v>
      </c>
      <c r="D34" s="5" t="s">
        <v>264</v>
      </c>
      <c r="E34" s="5" t="s">
        <v>264</v>
      </c>
      <c r="F34" s="5" t="s">
        <v>131</v>
      </c>
      <c r="G34" s="5" t="s">
        <v>789</v>
      </c>
      <c r="H34" s="5"/>
    </row>
    <row r="35" ht="84.0" customHeight="1">
      <c r="A35" s="5" t="s">
        <v>452</v>
      </c>
      <c r="B35" s="5" t="s">
        <v>453</v>
      </c>
      <c r="C35" s="5" t="s">
        <v>77</v>
      </c>
      <c r="D35" s="5" t="s">
        <v>264</v>
      </c>
      <c r="E35" s="5" t="s">
        <v>264</v>
      </c>
      <c r="F35" s="5" t="s">
        <v>131</v>
      </c>
      <c r="G35" s="5" t="s">
        <v>798</v>
      </c>
      <c r="H35" s="5"/>
    </row>
    <row r="36" ht="60.0" customHeight="1">
      <c r="A36" s="5" t="s">
        <v>524</v>
      </c>
      <c r="B36" s="5" t="s">
        <v>526</v>
      </c>
      <c r="C36" s="5" t="s">
        <v>128</v>
      </c>
      <c r="D36" s="5" t="s">
        <v>131</v>
      </c>
      <c r="E36" s="5" t="s">
        <v>275</v>
      </c>
      <c r="F36" s="5" t="s">
        <v>689</v>
      </c>
      <c r="G36" s="5" t="s">
        <v>804</v>
      </c>
      <c r="H36" s="5" t="s">
        <v>806</v>
      </c>
    </row>
    <row r="37" ht="60.0" customHeight="1">
      <c r="A37" s="5" t="s">
        <v>542</v>
      </c>
      <c r="B37" s="5" t="s">
        <v>543</v>
      </c>
      <c r="C37" s="5" t="s">
        <v>128</v>
      </c>
      <c r="D37" s="5" t="s">
        <v>131</v>
      </c>
      <c r="E37" s="5" t="s">
        <v>689</v>
      </c>
      <c r="F37" s="5" t="s">
        <v>689</v>
      </c>
      <c r="G37" s="5" t="s">
        <v>809</v>
      </c>
      <c r="H37" s="5" t="s">
        <v>811</v>
      </c>
    </row>
    <row r="38" ht="60.0" customHeight="1">
      <c r="A38" s="5" t="s">
        <v>551</v>
      </c>
      <c r="B38" s="5" t="s">
        <v>552</v>
      </c>
      <c r="C38" s="5" t="s">
        <v>128</v>
      </c>
      <c r="D38" s="5" t="s">
        <v>131</v>
      </c>
      <c r="E38" s="5" t="s">
        <v>689</v>
      </c>
      <c r="F38" s="5" t="s">
        <v>812</v>
      </c>
      <c r="G38" s="5" t="s">
        <v>814</v>
      </c>
      <c r="H38" s="5" t="s">
        <v>817</v>
      </c>
    </row>
    <row r="39" ht="60.0" customHeight="1">
      <c r="A39" s="5" t="s">
        <v>471</v>
      </c>
      <c r="B39" s="5" t="s">
        <v>472</v>
      </c>
      <c r="C39" s="5" t="s">
        <v>128</v>
      </c>
      <c r="D39" s="5" t="s">
        <v>131</v>
      </c>
      <c r="E39" s="5" t="s">
        <v>131</v>
      </c>
      <c r="F39" s="5" t="s">
        <v>131</v>
      </c>
      <c r="G39" s="5" t="s">
        <v>819</v>
      </c>
      <c r="H39" s="5"/>
    </row>
    <row r="40" ht="60.0" customHeight="1">
      <c r="A40" s="5" t="s">
        <v>490</v>
      </c>
      <c r="B40" s="5" t="s">
        <v>492</v>
      </c>
      <c r="C40" s="5" t="s">
        <v>128</v>
      </c>
      <c r="D40" s="5" t="s">
        <v>131</v>
      </c>
      <c r="E40" s="5" t="s">
        <v>131</v>
      </c>
      <c r="F40" s="5" t="s">
        <v>131</v>
      </c>
      <c r="G40" s="5" t="s">
        <v>823</v>
      </c>
      <c r="H40" s="5"/>
    </row>
    <row r="41" ht="69.75" customHeight="1">
      <c r="A41" s="5" t="s">
        <v>509</v>
      </c>
      <c r="B41" s="5" t="s">
        <v>510</v>
      </c>
      <c r="C41" s="5" t="s">
        <v>128</v>
      </c>
      <c r="D41" s="5" t="s">
        <v>131</v>
      </c>
      <c r="E41" s="5" t="s">
        <v>131</v>
      </c>
      <c r="F41" s="5" t="s">
        <v>131</v>
      </c>
      <c r="G41" s="5" t="s">
        <v>827</v>
      </c>
      <c r="H41" s="5"/>
    </row>
    <row r="42" ht="60.0" customHeight="1">
      <c r="A42" s="5" t="s">
        <v>595</v>
      </c>
      <c r="B42" s="5" t="s">
        <v>596</v>
      </c>
      <c r="C42" s="5" t="s">
        <v>77</v>
      </c>
      <c r="D42" s="5" t="s">
        <v>131</v>
      </c>
      <c r="E42" s="5" t="s">
        <v>275</v>
      </c>
      <c r="F42" s="5" t="s">
        <v>275</v>
      </c>
      <c r="G42" s="5" t="s">
        <v>832</v>
      </c>
      <c r="H42" s="5" t="s">
        <v>599</v>
      </c>
    </row>
    <row r="43" ht="60.0" customHeight="1">
      <c r="A43" s="5" t="s">
        <v>539</v>
      </c>
      <c r="B43" s="5" t="s">
        <v>540</v>
      </c>
      <c r="C43" s="5" t="s">
        <v>77</v>
      </c>
      <c r="D43" s="5" t="s">
        <v>131</v>
      </c>
      <c r="E43" s="5" t="s">
        <v>131</v>
      </c>
      <c r="F43" s="5" t="s">
        <v>131</v>
      </c>
      <c r="G43" s="5" t="s">
        <v>837</v>
      </c>
      <c r="H43" s="5"/>
    </row>
    <row r="44" ht="60.0" customHeight="1">
      <c r="A44" s="5" t="s">
        <v>838</v>
      </c>
      <c r="B44" s="5" t="s">
        <v>839</v>
      </c>
      <c r="C44" s="5" t="s">
        <v>77</v>
      </c>
      <c r="D44" s="5" t="s">
        <v>264</v>
      </c>
      <c r="E44" s="5" t="s">
        <v>131</v>
      </c>
      <c r="F44" s="5" t="s">
        <v>131</v>
      </c>
      <c r="G44" s="5" t="s">
        <v>840</v>
      </c>
      <c r="H44" s="5"/>
    </row>
    <row r="45" ht="60.0" customHeight="1">
      <c r="A45" s="5" t="s">
        <v>565</v>
      </c>
      <c r="B45" s="5" t="s">
        <v>566</v>
      </c>
      <c r="C45" s="5" t="s">
        <v>128</v>
      </c>
      <c r="D45" s="5" t="s">
        <v>131</v>
      </c>
      <c r="E45" s="5" t="s">
        <v>131</v>
      </c>
      <c r="F45" s="5" t="s">
        <v>131</v>
      </c>
      <c r="G45" s="5" t="s">
        <v>843</v>
      </c>
      <c r="H45" s="5"/>
    </row>
    <row r="46" ht="84.0" customHeight="1">
      <c r="A46" s="5" t="s">
        <v>589</v>
      </c>
      <c r="B46" s="5" t="s">
        <v>590</v>
      </c>
      <c r="C46" s="5" t="s">
        <v>128</v>
      </c>
      <c r="D46" s="5" t="s">
        <v>264</v>
      </c>
      <c r="E46" s="5" t="s">
        <v>131</v>
      </c>
      <c r="F46" s="5" t="s">
        <v>131</v>
      </c>
      <c r="G46" s="5" t="s">
        <v>844</v>
      </c>
      <c r="H46" s="5"/>
    </row>
    <row r="47" ht="126.0" customHeight="1">
      <c r="A47" s="5" t="s">
        <v>601</v>
      </c>
      <c r="B47" s="5" t="s">
        <v>602</v>
      </c>
      <c r="C47" s="5" t="s">
        <v>128</v>
      </c>
      <c r="D47" s="5" t="s">
        <v>131</v>
      </c>
      <c r="E47" s="5" t="s">
        <v>275</v>
      </c>
      <c r="F47" s="5" t="s">
        <v>275</v>
      </c>
      <c r="G47" s="5" t="s">
        <v>846</v>
      </c>
      <c r="H47" s="5" t="s">
        <v>604</v>
      </c>
    </row>
    <row r="48" ht="84.0" customHeight="1">
      <c r="A48" s="5" t="s">
        <v>618</v>
      </c>
      <c r="B48" s="5" t="s">
        <v>620</v>
      </c>
      <c r="C48" s="5" t="s">
        <v>128</v>
      </c>
      <c r="D48" s="5" t="s">
        <v>131</v>
      </c>
      <c r="E48" s="5" t="s">
        <v>131</v>
      </c>
      <c r="F48" s="5" t="s">
        <v>131</v>
      </c>
      <c r="G48" s="5" t="s">
        <v>851</v>
      </c>
      <c r="H48" s="5"/>
    </row>
    <row r="49" ht="69.75" customHeight="1">
      <c r="A49" s="5" t="s">
        <v>648</v>
      </c>
      <c r="B49" s="5" t="s">
        <v>650</v>
      </c>
      <c r="C49" s="5" t="s">
        <v>128</v>
      </c>
      <c r="D49" s="5" t="s">
        <v>131</v>
      </c>
      <c r="E49" s="5" t="s">
        <v>131</v>
      </c>
      <c r="F49" s="5" t="s">
        <v>131</v>
      </c>
      <c r="G49" s="5" t="s">
        <v>853</v>
      </c>
      <c r="H49" s="5"/>
    </row>
    <row r="50" ht="60.0" customHeight="1">
      <c r="A50" s="5" t="s">
        <v>606</v>
      </c>
      <c r="B50" s="5" t="s">
        <v>608</v>
      </c>
      <c r="C50" s="5" t="s">
        <v>128</v>
      </c>
      <c r="D50" s="5" t="s">
        <v>131</v>
      </c>
      <c r="E50" s="5" t="s">
        <v>275</v>
      </c>
      <c r="F50" s="5" t="s">
        <v>275</v>
      </c>
      <c r="G50" s="5" t="s">
        <v>854</v>
      </c>
      <c r="H50" s="5" t="s">
        <v>615</v>
      </c>
    </row>
    <row r="51" ht="60.0" customHeight="1">
      <c r="A51" s="5" t="s">
        <v>616</v>
      </c>
      <c r="B51" s="5" t="s">
        <v>617</v>
      </c>
      <c r="C51" s="5" t="s">
        <v>81</v>
      </c>
      <c r="D51" s="5" t="s">
        <v>264</v>
      </c>
      <c r="E51" s="5" t="s">
        <v>131</v>
      </c>
      <c r="F51" s="5" t="s">
        <v>275</v>
      </c>
      <c r="G51" s="5" t="s">
        <v>855</v>
      </c>
      <c r="H51" s="5" t="s">
        <v>622</v>
      </c>
    </row>
    <row r="52" ht="195.75" customHeight="1">
      <c r="A52" s="5" t="s">
        <v>624</v>
      </c>
      <c r="B52" s="5" t="s">
        <v>625</v>
      </c>
      <c r="C52" s="5" t="s">
        <v>128</v>
      </c>
      <c r="D52" s="5" t="s">
        <v>131</v>
      </c>
      <c r="E52" s="5" t="s">
        <v>131</v>
      </c>
      <c r="F52" s="5" t="s">
        <v>689</v>
      </c>
      <c r="G52" s="5" t="s">
        <v>856</v>
      </c>
      <c r="H52" s="5" t="s">
        <v>857</v>
      </c>
    </row>
    <row r="53" ht="126.0" customHeight="1">
      <c r="A53" s="5" t="s">
        <v>633</v>
      </c>
      <c r="B53" s="5" t="s">
        <v>635</v>
      </c>
      <c r="C53" s="5" t="s">
        <v>80</v>
      </c>
      <c r="D53" s="5" t="s">
        <v>131</v>
      </c>
      <c r="E53" s="5" t="s">
        <v>275</v>
      </c>
      <c r="F53" s="5" t="s">
        <v>275</v>
      </c>
      <c r="G53" s="5" t="s">
        <v>858</v>
      </c>
      <c r="H53" s="5" t="s">
        <v>641</v>
      </c>
    </row>
    <row r="54" ht="69.75" customHeight="1">
      <c r="A54" s="5" t="s">
        <v>679</v>
      </c>
      <c r="B54" s="5" t="s">
        <v>680</v>
      </c>
      <c r="C54" s="5" t="s">
        <v>128</v>
      </c>
      <c r="D54" s="5" t="s">
        <v>131</v>
      </c>
      <c r="E54" s="5" t="s">
        <v>131</v>
      </c>
      <c r="F54" s="5" t="s">
        <v>131</v>
      </c>
      <c r="G54" s="5" t="s">
        <v>861</v>
      </c>
      <c r="H54" s="5"/>
    </row>
    <row r="55" ht="60.0" customHeight="1">
      <c r="A55" s="5" t="s">
        <v>645</v>
      </c>
      <c r="B55" s="5" t="s">
        <v>647</v>
      </c>
      <c r="C55" s="5" t="s">
        <v>80</v>
      </c>
      <c r="D55" s="5" t="s">
        <v>131</v>
      </c>
      <c r="E55" s="5" t="s">
        <v>275</v>
      </c>
      <c r="F55" s="5" t="s">
        <v>574</v>
      </c>
      <c r="G55" s="5" t="s">
        <v>864</v>
      </c>
      <c r="H55" s="5" t="s">
        <v>866</v>
      </c>
    </row>
    <row r="56" ht="97.5" customHeight="1">
      <c r="A56" s="5" t="s">
        <v>665</v>
      </c>
      <c r="B56" s="5" t="s">
        <v>667</v>
      </c>
      <c r="C56" s="5" t="s">
        <v>868</v>
      </c>
      <c r="D56" s="5" t="s">
        <v>131</v>
      </c>
      <c r="E56" s="5" t="s">
        <v>689</v>
      </c>
      <c r="F56" s="5" t="s">
        <v>707</v>
      </c>
      <c r="G56" s="5" t="s">
        <v>869</v>
      </c>
      <c r="H56" s="5" t="s">
        <v>870</v>
      </c>
    </row>
    <row r="57" ht="84.0" customHeight="1">
      <c r="A57" s="5" t="s">
        <v>686</v>
      </c>
      <c r="B57" s="5" t="s">
        <v>687</v>
      </c>
      <c r="C57" s="5" t="s">
        <v>128</v>
      </c>
      <c r="D57" s="5" t="s">
        <v>264</v>
      </c>
      <c r="E57" s="5" t="s">
        <v>841</v>
      </c>
      <c r="F57" s="5" t="s">
        <v>842</v>
      </c>
      <c r="G57" s="5" t="s">
        <v>871</v>
      </c>
      <c r="H57" s="5" t="s">
        <v>873</v>
      </c>
    </row>
    <row r="58" ht="60.0" customHeight="1">
      <c r="A58" s="5" t="s">
        <v>875</v>
      </c>
      <c r="B58" s="5" t="s">
        <v>877</v>
      </c>
      <c r="C58" s="5" t="s">
        <v>80</v>
      </c>
      <c r="D58" s="5" t="s">
        <v>264</v>
      </c>
      <c r="E58" s="5" t="s">
        <v>131</v>
      </c>
      <c r="F58" s="5" t="s">
        <v>131</v>
      </c>
      <c r="G58" s="5" t="s">
        <v>879</v>
      </c>
      <c r="H58" s="5"/>
    </row>
    <row r="59" ht="69.75" customHeight="1">
      <c r="A59" s="5" t="s">
        <v>712</v>
      </c>
      <c r="B59" s="5" t="s">
        <v>713</v>
      </c>
      <c r="C59" s="5" t="s">
        <v>882</v>
      </c>
      <c r="D59" s="5" t="s">
        <v>264</v>
      </c>
      <c r="E59" s="5" t="s">
        <v>131</v>
      </c>
      <c r="F59" s="5" t="s">
        <v>689</v>
      </c>
      <c r="G59" s="5" t="s">
        <v>884</v>
      </c>
      <c r="H59" s="5" t="s">
        <v>885</v>
      </c>
    </row>
    <row r="60" ht="60.0" customHeight="1">
      <c r="A60" s="5" t="s">
        <v>704</v>
      </c>
      <c r="B60" s="5" t="s">
        <v>705</v>
      </c>
      <c r="C60" s="5" t="s">
        <v>128</v>
      </c>
      <c r="D60" s="5" t="s">
        <v>131</v>
      </c>
      <c r="E60" s="5" t="s">
        <v>131</v>
      </c>
      <c r="F60" s="5" t="s">
        <v>131</v>
      </c>
      <c r="G60" s="5" t="s">
        <v>886</v>
      </c>
      <c r="H60" s="5"/>
    </row>
    <row r="61" ht="97.5" customHeight="1">
      <c r="A61" s="5" t="s">
        <v>729</v>
      </c>
      <c r="B61" s="5" t="s">
        <v>730</v>
      </c>
      <c r="C61" s="5" t="s">
        <v>128</v>
      </c>
      <c r="D61" s="5" t="s">
        <v>131</v>
      </c>
      <c r="E61" s="5" t="s">
        <v>131</v>
      </c>
      <c r="F61" s="5" t="s">
        <v>131</v>
      </c>
      <c r="G61" s="5" t="s">
        <v>892</v>
      </c>
      <c r="H61" s="5"/>
    </row>
    <row r="62" ht="97.5" customHeight="1">
      <c r="A62" s="5" t="s">
        <v>726</v>
      </c>
      <c r="B62" s="5" t="s">
        <v>727</v>
      </c>
      <c r="C62" s="5" t="s">
        <v>80</v>
      </c>
      <c r="D62" s="5" t="s">
        <v>131</v>
      </c>
      <c r="E62" s="5" t="s">
        <v>275</v>
      </c>
      <c r="F62" s="5" t="s">
        <v>275</v>
      </c>
      <c r="G62" s="5" t="s">
        <v>896</v>
      </c>
      <c r="H62" s="5" t="s">
        <v>731</v>
      </c>
    </row>
    <row r="63" ht="60.0" customHeight="1">
      <c r="A63" s="5" t="s">
        <v>732</v>
      </c>
      <c r="B63" s="5" t="s">
        <v>733</v>
      </c>
      <c r="C63" s="5" t="s">
        <v>128</v>
      </c>
      <c r="D63" s="5" t="s">
        <v>264</v>
      </c>
      <c r="E63" s="5" t="s">
        <v>707</v>
      </c>
      <c r="F63" s="5" t="s">
        <v>707</v>
      </c>
      <c r="G63" s="5" t="s">
        <v>897</v>
      </c>
      <c r="H63" s="5" t="s">
        <v>898</v>
      </c>
    </row>
    <row r="64" ht="60.0" customHeight="1">
      <c r="A64" s="5" t="s">
        <v>758</v>
      </c>
      <c r="B64" s="5" t="s">
        <v>759</v>
      </c>
      <c r="C64" s="5" t="s">
        <v>128</v>
      </c>
      <c r="D64" s="5" t="s">
        <v>131</v>
      </c>
      <c r="E64" s="5" t="s">
        <v>275</v>
      </c>
      <c r="F64" s="5" t="s">
        <v>275</v>
      </c>
      <c r="G64" s="5" t="s">
        <v>899</v>
      </c>
      <c r="H64" s="5" t="s">
        <v>761</v>
      </c>
    </row>
    <row r="65" ht="84.0" customHeight="1">
      <c r="A65" s="5" t="s">
        <v>752</v>
      </c>
      <c r="B65" s="5" t="s">
        <v>754</v>
      </c>
      <c r="C65" s="5" t="s">
        <v>128</v>
      </c>
      <c r="D65" s="5" t="s">
        <v>131</v>
      </c>
      <c r="E65" s="5" t="s">
        <v>131</v>
      </c>
      <c r="F65" s="5" t="s">
        <v>131</v>
      </c>
      <c r="G65" s="5" t="s">
        <v>902</v>
      </c>
      <c r="H65" s="5"/>
    </row>
    <row r="66" ht="168.0" customHeight="1">
      <c r="A66" s="5" t="s">
        <v>904</v>
      </c>
      <c r="B66" s="5" t="s">
        <v>905</v>
      </c>
      <c r="C66" s="5" t="s">
        <v>80</v>
      </c>
      <c r="D66" s="5" t="s">
        <v>264</v>
      </c>
      <c r="E66" s="5" t="s">
        <v>131</v>
      </c>
      <c r="F66" s="5" t="s">
        <v>131</v>
      </c>
      <c r="G66" s="5" t="s">
        <v>910</v>
      </c>
      <c r="H66" s="5"/>
    </row>
    <row r="67" ht="69.75" customHeight="1">
      <c r="A67" s="5" t="s">
        <v>762</v>
      </c>
      <c r="B67" s="5" t="s">
        <v>763</v>
      </c>
      <c r="C67" s="5" t="s">
        <v>868</v>
      </c>
      <c r="D67" s="5" t="s">
        <v>131</v>
      </c>
      <c r="E67" s="5" t="s">
        <v>574</v>
      </c>
      <c r="F67" s="5" t="s">
        <v>707</v>
      </c>
      <c r="G67" s="5" t="s">
        <v>911</v>
      </c>
      <c r="H67" s="5" t="s">
        <v>912</v>
      </c>
    </row>
    <row r="68" ht="111.75" customHeight="1">
      <c r="A68" s="5" t="s">
        <v>913</v>
      </c>
      <c r="B68" s="5" t="s">
        <v>914</v>
      </c>
      <c r="C68" s="5" t="s">
        <v>82</v>
      </c>
      <c r="D68" s="5" t="s">
        <v>264</v>
      </c>
      <c r="E68" s="5" t="s">
        <v>264</v>
      </c>
      <c r="F68" s="5" t="s">
        <v>131</v>
      </c>
      <c r="G68" s="5" t="s">
        <v>915</v>
      </c>
      <c r="H68" s="5"/>
    </row>
    <row r="69" ht="69.75" customHeight="1">
      <c r="A69" s="5" t="s">
        <v>916</v>
      </c>
      <c r="B69" s="5" t="s">
        <v>918</v>
      </c>
      <c r="C69" s="5" t="s">
        <v>80</v>
      </c>
      <c r="D69" s="5" t="s">
        <v>131</v>
      </c>
      <c r="E69" s="5" t="s">
        <v>131</v>
      </c>
      <c r="F69" s="5" t="s">
        <v>131</v>
      </c>
      <c r="G69" s="5" t="s">
        <v>921</v>
      </c>
      <c r="H69" s="5"/>
    </row>
    <row r="70" ht="69.75" customHeight="1">
      <c r="A70" s="5" t="s">
        <v>788</v>
      </c>
      <c r="B70" s="5" t="s">
        <v>417</v>
      </c>
      <c r="C70" s="5" t="s">
        <v>77</v>
      </c>
      <c r="D70" s="5" t="s">
        <v>131</v>
      </c>
      <c r="E70" s="5" t="s">
        <v>275</v>
      </c>
      <c r="F70" s="5" t="s">
        <v>689</v>
      </c>
      <c r="G70" s="5" t="s">
        <v>924</v>
      </c>
      <c r="H70" s="5" t="s">
        <v>925</v>
      </c>
    </row>
    <row r="71" ht="139.5" customHeight="1">
      <c r="A71" s="5" t="s">
        <v>780</v>
      </c>
      <c r="B71" s="5" t="s">
        <v>781</v>
      </c>
      <c r="C71" s="5" t="s">
        <v>128</v>
      </c>
      <c r="D71" s="5" t="s">
        <v>131</v>
      </c>
      <c r="E71" s="5" t="s">
        <v>131</v>
      </c>
      <c r="F71" s="5" t="s">
        <v>131</v>
      </c>
      <c r="G71" s="5" t="s">
        <v>926</v>
      </c>
      <c r="H71" s="5"/>
    </row>
    <row r="72" ht="126.0" customHeight="1">
      <c r="A72" s="5" t="s">
        <v>802</v>
      </c>
      <c r="B72" s="5" t="s">
        <v>803</v>
      </c>
      <c r="C72" s="5" t="s">
        <v>128</v>
      </c>
      <c r="D72" s="5" t="s">
        <v>927</v>
      </c>
      <c r="E72" s="5" t="s">
        <v>927</v>
      </c>
      <c r="F72" s="5" t="s">
        <v>928</v>
      </c>
      <c r="G72" s="5" t="s">
        <v>932</v>
      </c>
      <c r="H72" s="5" t="s">
        <v>935</v>
      </c>
    </row>
    <row r="73" ht="168.0" customHeight="1">
      <c r="A73" s="5" t="s">
        <v>820</v>
      </c>
      <c r="B73" s="5" t="s">
        <v>821</v>
      </c>
      <c r="C73" s="5" t="s">
        <v>128</v>
      </c>
      <c r="D73" s="5" t="s">
        <v>131</v>
      </c>
      <c r="E73" s="5" t="s">
        <v>131</v>
      </c>
      <c r="F73" s="5" t="s">
        <v>275</v>
      </c>
      <c r="G73" s="5" t="s">
        <v>936</v>
      </c>
      <c r="H73" s="5" t="s">
        <v>824</v>
      </c>
    </row>
    <row r="74" ht="60.0" customHeight="1">
      <c r="A74" s="5" t="s">
        <v>826</v>
      </c>
      <c r="B74" s="5" t="s">
        <v>828</v>
      </c>
      <c r="C74" s="5" t="s">
        <v>77</v>
      </c>
      <c r="D74" s="5" t="s">
        <v>264</v>
      </c>
      <c r="E74" s="5" t="s">
        <v>131</v>
      </c>
      <c r="F74" s="5" t="s">
        <v>275</v>
      </c>
      <c r="G74" s="5" t="s">
        <v>937</v>
      </c>
      <c r="H74" s="5" t="s">
        <v>834</v>
      </c>
    </row>
    <row r="75" ht="15.75" customHeight="1"/>
    <row r="76" ht="15.75" customHeight="1">
      <c r="A76" s="40" t="s">
        <v>941</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workbookViewId="0"/>
  </sheetViews>
  <sheetFormatPr customHeight="1" defaultColWidth="14.43" defaultRowHeight="15.0"/>
  <cols>
    <col customWidth="1" min="1" max="1" width="34.0"/>
    <col customWidth="1" min="2" max="2" width="100.0"/>
    <col customWidth="1" min="3" max="6" width="8.71"/>
  </cols>
  <sheetData>
    <row r="1">
      <c r="A1" s="3" t="s">
        <v>964</v>
      </c>
    </row>
    <row r="3">
      <c r="A3" s="9" t="s">
        <v>968</v>
      </c>
      <c r="B3" s="5" t="s">
        <v>971</v>
      </c>
    </row>
    <row r="4">
      <c r="A4" s="9" t="s">
        <v>972</v>
      </c>
      <c r="B4" s="5" t="s">
        <v>973</v>
      </c>
    </row>
    <row r="5">
      <c r="A5" s="41" t="s">
        <v>974</v>
      </c>
      <c r="B5" s="5"/>
    </row>
    <row r="6">
      <c r="A6" s="42" t="s">
        <v>976</v>
      </c>
      <c r="B6" s="5"/>
    </row>
    <row r="7">
      <c r="A7" s="43" t="s">
        <v>982</v>
      </c>
      <c r="B7" s="5"/>
    </row>
    <row r="8">
      <c r="A8" s="44" t="s">
        <v>983</v>
      </c>
      <c r="B8" s="5" t="s">
        <v>985</v>
      </c>
    </row>
    <row r="9">
      <c r="A9" s="45" t="s">
        <v>986</v>
      </c>
      <c r="B9" s="5" t="s">
        <v>987</v>
      </c>
    </row>
    <row r="10">
      <c r="A10" s="46" t="s">
        <v>994</v>
      </c>
      <c r="B10" s="5" t="s">
        <v>995</v>
      </c>
    </row>
    <row r="11">
      <c r="A11" s="45" t="s">
        <v>996</v>
      </c>
      <c r="B11" s="5" t="s">
        <v>997</v>
      </c>
    </row>
    <row r="12">
      <c r="A12" s="47" t="s">
        <v>998</v>
      </c>
      <c r="B12" s="5" t="s">
        <v>999</v>
      </c>
    </row>
    <row r="13">
      <c r="A13" s="9" t="s">
        <v>1000</v>
      </c>
      <c r="B13" s="5" t="s">
        <v>1001</v>
      </c>
    </row>
    <row r="14">
      <c r="A14" s="9" t="s">
        <v>1002</v>
      </c>
      <c r="B14" s="5" t="s">
        <v>1003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